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c892c42b32e4e0fb/"/>
    </mc:Choice>
  </mc:AlternateContent>
  <xr:revisionPtr revIDLastSave="907" documentId="8_{D8E34CC0-791C-47E0-806F-8135C99C2819}" xr6:coauthVersionLast="47" xr6:coauthVersionMax="47" xr10:uidLastSave="{663C5D9D-647C-419B-B724-0500D9D2D145}"/>
  <bookViews>
    <workbookView xWindow="-108" yWindow="-108" windowWidth="23256" windowHeight="12456" activeTab="6" xr2:uid="{D387A733-E341-4DBF-8FAF-AD2ED158A045}"/>
  </bookViews>
  <sheets>
    <sheet name="Raw_Data" sheetId="1" r:id="rId1"/>
    <sheet name="Cleaned_Data" sheetId="3" r:id="rId2"/>
    <sheet name="Sheet1" sheetId="7" state="hidden" r:id="rId3"/>
    <sheet name="Pivot_Table" sheetId="4" r:id="rId4"/>
    <sheet name="Pivot_Charts" sheetId="6" r:id="rId5"/>
    <sheet name="Charts" sheetId="5" r:id="rId6"/>
    <sheet name="Forecast_Sheet" sheetId="8" r:id="rId7"/>
  </sheets>
  <definedNames>
    <definedName name="Slicer_Item">#N/A</definedName>
    <definedName name="Slicer_Month">#N/A</definedName>
    <definedName name="Slicer_Tim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89" i="7" l="1"/>
  <c r="D89" i="7"/>
  <c r="E89" i="7"/>
  <c r="C90" i="7"/>
  <c r="D90" i="7"/>
  <c r="E90" i="7"/>
  <c r="C91" i="7"/>
  <c r="D91" i="7"/>
  <c r="E91" i="7"/>
  <c r="C92" i="7"/>
  <c r="D92" i="7"/>
  <c r="E92" i="7"/>
  <c r="C93" i="7"/>
  <c r="E93" i="7" s="1"/>
  <c r="D93" i="7"/>
  <c r="C94" i="7"/>
  <c r="D94" i="7" s="1"/>
  <c r="E94" i="7"/>
  <c r="C95" i="7"/>
  <c r="D95" i="7"/>
  <c r="E95" i="7"/>
  <c r="C96" i="7"/>
  <c r="D96" i="7" s="1"/>
  <c r="E96" i="7"/>
  <c r="C97" i="7"/>
  <c r="D97" i="7"/>
  <c r="E97" i="7"/>
  <c r="C98" i="7"/>
  <c r="D98" i="7"/>
  <c r="E98" i="7"/>
  <c r="C99" i="7"/>
  <c r="D99" i="7"/>
  <c r="E99" i="7"/>
  <c r="C100" i="7"/>
  <c r="D100" i="7" s="1"/>
  <c r="E100" i="7"/>
  <c r="C101" i="7"/>
  <c r="C102" i="7"/>
  <c r="D102" i="7"/>
  <c r="E102" i="7"/>
  <c r="C103" i="7"/>
  <c r="D103" i="7"/>
  <c r="E103" i="7"/>
  <c r="C104" i="7"/>
  <c r="D104" i="7"/>
  <c r="E104" i="7"/>
  <c r="C105" i="7"/>
  <c r="D105" i="7"/>
  <c r="E105" i="7"/>
  <c r="C106" i="7"/>
  <c r="D106" i="7"/>
  <c r="E106" i="7"/>
  <c r="C107" i="7"/>
  <c r="D107" i="7"/>
  <c r="E107" i="7"/>
  <c r="C108" i="7"/>
  <c r="D108" i="7"/>
  <c r="E108" i="7"/>
  <c r="C109" i="7"/>
  <c r="D109" i="7"/>
  <c r="E109" i="7"/>
  <c r="C110" i="7"/>
  <c r="D110" i="7"/>
  <c r="E110" i="7"/>
  <c r="C111" i="7"/>
  <c r="D111" i="7"/>
  <c r="E111" i="7"/>
  <c r="C112" i="7"/>
  <c r="D112" i="7"/>
  <c r="E112" i="7"/>
  <c r="C113" i="7"/>
  <c r="D113" i="7"/>
  <c r="E113" i="7"/>
  <c r="C114" i="7"/>
  <c r="D114" i="7"/>
  <c r="E114" i="7"/>
  <c r="C115" i="7"/>
  <c r="D115" i="7"/>
  <c r="E115" i="7"/>
  <c r="C116" i="7"/>
  <c r="D116" i="7"/>
  <c r="E116" i="7"/>
  <c r="C117" i="7"/>
  <c r="D117" i="7"/>
  <c r="E117" i="7"/>
  <c r="C118" i="7"/>
  <c r="D118" i="7"/>
  <c r="E118" i="7"/>
  <c r="C119" i="7"/>
  <c r="D119" i="7"/>
  <c r="E119" i="7"/>
  <c r="C120" i="7"/>
  <c r="D120" i="7"/>
  <c r="E120" i="7"/>
  <c r="C121" i="7"/>
  <c r="D121" i="7"/>
  <c r="E121" i="7"/>
  <c r="C122" i="7"/>
  <c r="D122" i="7"/>
  <c r="E122" i="7"/>
  <c r="C123" i="7"/>
  <c r="D123" i="7"/>
  <c r="E123" i="7"/>
  <c r="C124" i="7"/>
  <c r="D124" i="7"/>
  <c r="E124" i="7"/>
  <c r="C125" i="7"/>
  <c r="D125" i="7"/>
  <c r="E125" i="7"/>
  <c r="C126" i="7"/>
  <c r="D126" i="7"/>
  <c r="E126" i="7"/>
  <c r="C127" i="7"/>
  <c r="D127" i="7"/>
  <c r="E127" i="7"/>
  <c r="C128" i="7"/>
  <c r="C129" i="7"/>
  <c r="C130" i="7"/>
  <c r="D130" i="7" s="1"/>
  <c r="E130" i="7"/>
  <c r="C131" i="7"/>
  <c r="D131" i="7" s="1"/>
  <c r="E131" i="7"/>
  <c r="C132" i="7"/>
  <c r="E132" i="7" s="1"/>
  <c r="D132" i="7"/>
  <c r="C133" i="7"/>
  <c r="E133" i="7" s="1"/>
  <c r="D133" i="7"/>
  <c r="C134" i="7"/>
  <c r="C135" i="7"/>
  <c r="E135" i="7" s="1"/>
  <c r="D135" i="7"/>
  <c r="C136" i="7"/>
  <c r="D136" i="7"/>
  <c r="E136" i="7"/>
  <c r="C137" i="7"/>
  <c r="D137" i="7"/>
  <c r="E137" i="7"/>
  <c r="C138" i="7"/>
  <c r="D138" i="7"/>
  <c r="E138" i="7"/>
  <c r="C139" i="7"/>
  <c r="D139" i="7"/>
  <c r="E139" i="7"/>
  <c r="C140" i="7"/>
  <c r="D140" i="7"/>
  <c r="E140" i="7"/>
  <c r="C141" i="7"/>
  <c r="D141" i="7"/>
  <c r="E141" i="7"/>
  <c r="C142" i="7"/>
  <c r="D142" i="7"/>
  <c r="E142" i="7"/>
  <c r="C143" i="7"/>
  <c r="D143" i="7"/>
  <c r="E143" i="7"/>
  <c r="C144" i="7"/>
  <c r="C145" i="7"/>
  <c r="C146" i="7"/>
  <c r="D146" i="7" s="1"/>
  <c r="E146" i="7"/>
  <c r="H221" i="3"/>
  <c r="H19" i="3"/>
  <c r="H3" i="3"/>
  <c r="H4" i="3"/>
  <c r="H5" i="3"/>
  <c r="H6" i="3"/>
  <c r="H7" i="3"/>
  <c r="H8" i="3"/>
  <c r="H9" i="3"/>
  <c r="H10" i="3"/>
  <c r="H11" i="3"/>
  <c r="H12" i="3"/>
  <c r="H13" i="3"/>
  <c r="H14" i="3"/>
  <c r="H15" i="3"/>
  <c r="H16" i="3"/>
  <c r="H17" i="3"/>
  <c r="H18"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 i="3"/>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D101" i="7" l="1"/>
  <c r="E101" i="7"/>
  <c r="D128" i="7"/>
  <c r="E128" i="7"/>
  <c r="D129" i="7"/>
  <c r="E129" i="7"/>
  <c r="D134" i="7"/>
  <c r="E134" i="7"/>
  <c r="D144" i="7"/>
  <c r="E144" i="7"/>
  <c r="D145" i="7"/>
  <c r="E145" i="7"/>
</calcChain>
</file>

<file path=xl/sharedStrings.xml><?xml version="1.0" encoding="utf-8"?>
<sst xmlns="http://schemas.openxmlformats.org/spreadsheetml/2006/main" count="1257" uniqueCount="142">
  <si>
    <t>Date</t>
  </si>
  <si>
    <t>Time</t>
  </si>
  <si>
    <t>Item</t>
  </si>
  <si>
    <t>Quantity</t>
  </si>
  <si>
    <t>Amount per item</t>
  </si>
  <si>
    <t>Total</t>
  </si>
  <si>
    <t>Morning</t>
  </si>
  <si>
    <t>idly</t>
  </si>
  <si>
    <t>Afternoon</t>
  </si>
  <si>
    <t>veg meals</t>
  </si>
  <si>
    <t>Night</t>
  </si>
  <si>
    <t>noodles</t>
  </si>
  <si>
    <t>chapati</t>
  </si>
  <si>
    <t>ven pongal + vadai</t>
  </si>
  <si>
    <t>veg rice (basmati rice) + keerai</t>
  </si>
  <si>
    <t>egg dosa</t>
  </si>
  <si>
    <t xml:space="preserve">variety rice </t>
  </si>
  <si>
    <t>kothu egg chapati</t>
  </si>
  <si>
    <t>extra vegetables</t>
  </si>
  <si>
    <t>plain chapati</t>
  </si>
  <si>
    <t>idli</t>
  </si>
  <si>
    <t>sambar rice</t>
  </si>
  <si>
    <t>extra keerai</t>
  </si>
  <si>
    <t>rava dosa</t>
  </si>
  <si>
    <t>dosa</t>
  </si>
  <si>
    <t>chicken biryani + white rice 
+ chicken gravy + rasam</t>
  </si>
  <si>
    <t>mini idli</t>
  </si>
  <si>
    <t>egg kothu chapati</t>
  </si>
  <si>
    <t>extra vadai</t>
  </si>
  <si>
    <t>veg pulao</t>
  </si>
  <si>
    <t>extra egg gravy</t>
  </si>
  <si>
    <t>chicken meals</t>
  </si>
  <si>
    <t>ragi dosa + plain dosa</t>
  </si>
  <si>
    <t>variety rice</t>
  </si>
  <si>
    <t>egg noodles</t>
  </si>
  <si>
    <t>mushroom rice</t>
  </si>
  <si>
    <t>egg omelette</t>
  </si>
  <si>
    <t>veg biryani (basmati rice)</t>
  </si>
  <si>
    <t>curd rice</t>
  </si>
  <si>
    <t>Idly</t>
  </si>
  <si>
    <t>Veg Meals</t>
  </si>
  <si>
    <t>Chappathi</t>
  </si>
  <si>
    <t>Dosai</t>
  </si>
  <si>
    <t>Veg Biryani</t>
  </si>
  <si>
    <t>Egg Gravy</t>
  </si>
  <si>
    <t>Egg Dosai</t>
  </si>
  <si>
    <t>Variety Rice</t>
  </si>
  <si>
    <t>Chicken Meals</t>
  </si>
  <si>
    <t>Onion Dosai</t>
  </si>
  <si>
    <t>Sambar Rice</t>
  </si>
  <si>
    <t>Plain Dosai</t>
  </si>
  <si>
    <t>Mini Ghee Podi Idly</t>
  </si>
  <si>
    <t>Veg Full Meals</t>
  </si>
  <si>
    <t>Veg Pongal</t>
  </si>
  <si>
    <t>Vadai</t>
  </si>
  <si>
    <t>Egg Kothu Chappathi</t>
  </si>
  <si>
    <t>Plain Chappathi</t>
  </si>
  <si>
    <t>15/12</t>
  </si>
  <si>
    <t>Vegetables</t>
  </si>
  <si>
    <t>16/12</t>
  </si>
  <si>
    <t>Variety Meals</t>
  </si>
  <si>
    <t>Keerai</t>
  </si>
  <si>
    <t>17/12</t>
  </si>
  <si>
    <t>Meals</t>
  </si>
  <si>
    <t>18/12</t>
  </si>
  <si>
    <t>Ragi Dosai</t>
  </si>
  <si>
    <t>19/12</t>
  </si>
  <si>
    <t>Mushroom Rice</t>
  </si>
  <si>
    <t>Egg Omelet</t>
  </si>
  <si>
    <t>22/12</t>
  </si>
  <si>
    <t>Vegetable</t>
  </si>
  <si>
    <t>23/12</t>
  </si>
  <si>
    <t>Green Gram Dosai</t>
  </si>
  <si>
    <t>Ghee Rice</t>
  </si>
  <si>
    <t>24/12</t>
  </si>
  <si>
    <t>29/12</t>
  </si>
  <si>
    <t xml:space="preserve">30/12 </t>
  </si>
  <si>
    <t>31/12</t>
  </si>
  <si>
    <t>Mushroom Briyani with Soya 65</t>
  </si>
  <si>
    <t xml:space="preserve">Morning </t>
  </si>
  <si>
    <t xml:space="preserve">Ragi Dosa </t>
  </si>
  <si>
    <t xml:space="preserve">Plain Dosa </t>
  </si>
  <si>
    <t xml:space="preserve">Afternoon </t>
  </si>
  <si>
    <t xml:space="preserve">Veg Meal </t>
  </si>
  <si>
    <t xml:space="preserve">Night  </t>
  </si>
  <si>
    <t>Egg Dosa</t>
  </si>
  <si>
    <t>Egg Chappathi</t>
  </si>
  <si>
    <t xml:space="preserve">Paneer Fried Rice </t>
  </si>
  <si>
    <t>Fish Meals</t>
  </si>
  <si>
    <t>Rice &amp; Dal</t>
  </si>
  <si>
    <t>Mushroom Briyani</t>
  </si>
  <si>
    <t>Veg Briyani</t>
  </si>
  <si>
    <t>Ven Pongal</t>
  </si>
  <si>
    <t>Veg Pulav</t>
  </si>
  <si>
    <t>Cauliflower 65</t>
  </si>
  <si>
    <t>Paneer Biryani</t>
  </si>
  <si>
    <t xml:space="preserve">Afternoon  </t>
  </si>
  <si>
    <t>Veg Meal</t>
  </si>
  <si>
    <t>Chappthai</t>
  </si>
  <si>
    <t>Coconut &amp; Tomato Rice</t>
  </si>
  <si>
    <t xml:space="preserve">Curd Rice </t>
  </si>
  <si>
    <t>Chappthai &amp; Egg Gravy</t>
  </si>
  <si>
    <t>Noodles</t>
  </si>
  <si>
    <t>Chapati</t>
  </si>
  <si>
    <t>Extra Vegetables</t>
  </si>
  <si>
    <t>Plain Chapati</t>
  </si>
  <si>
    <t>Idli</t>
  </si>
  <si>
    <t>Extra Keerai</t>
  </si>
  <si>
    <t>Rava Dosa</t>
  </si>
  <si>
    <t>Dosa</t>
  </si>
  <si>
    <t>Mini Idli</t>
  </si>
  <si>
    <t>Egg Kothu Chapati</t>
  </si>
  <si>
    <t>Extra Vadai</t>
  </si>
  <si>
    <t>Veg Pulao</t>
  </si>
  <si>
    <t>Extra Egg Gravy</t>
  </si>
  <si>
    <t>Egg Noodles</t>
  </si>
  <si>
    <t>Egg Omelette</t>
  </si>
  <si>
    <t>Curd Rice</t>
  </si>
  <si>
    <t>Ragi Dosa</t>
  </si>
  <si>
    <t>Plain Dosa</t>
  </si>
  <si>
    <t>Paneer Fried Rice</t>
  </si>
  <si>
    <t>Mini Ghee Podi Idli</t>
  </si>
  <si>
    <t>Egg Chapati</t>
  </si>
  <si>
    <t>Mushroom Biryani</t>
  </si>
  <si>
    <t>Chapati with Egg Gravy</t>
  </si>
  <si>
    <t>Month</t>
  </si>
  <si>
    <t>Nov</t>
  </si>
  <si>
    <t>Dec</t>
  </si>
  <si>
    <t>Jan</t>
  </si>
  <si>
    <t>Grand Total</t>
  </si>
  <si>
    <t>Veg Rice</t>
  </si>
  <si>
    <t>Onion Dosa</t>
  </si>
  <si>
    <t>Green Gram Dosa</t>
  </si>
  <si>
    <t>Total Revenue</t>
  </si>
  <si>
    <t>Total Revenue %</t>
  </si>
  <si>
    <t>Items</t>
  </si>
  <si>
    <t>Total Quantity</t>
  </si>
  <si>
    <t>Forecast(Total Revenue)</t>
  </si>
  <si>
    <t>Lower Confidence Bound(Total Revenue)</t>
  </si>
  <si>
    <t>Upper Confidence Bound(Total Revenue)</t>
  </si>
  <si>
    <t>Forecast Analysis – Business Insights</t>
  </si>
  <si>
    <t>Top 10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</si>
</sst>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
    <numFmt numFmtId="165" formatCode="m/d"/>
    <numFmt numFmtId="166" formatCode="&quot;₹&quot;\ #,##0"/>
    <numFmt numFmtId="167" formatCode="&quot;₹&quot;\ #,##0.00"/>
  </numFmts>
  <fonts count="21" x14ac:knownFonts="1">
    <font>
      <sz val="11"/>
      <color theme="1"/>
      <name val="Aptos Narrow"/>
      <family val="2"/>
      <scheme val="minor"/>
    </font>
    <font>
      <sz val="10"/>
      <color rgb="FF000000"/>
      <name val="Aptos Narrow"/>
      <scheme val="minor"/>
    </font>
    <font>
      <sz val="10"/>
      <name val="Arial"/>
    </font>
    <font>
      <b/>
      <sz val="11"/>
      <color theme="1"/>
      <name val="Arial"/>
    </font>
    <font>
      <b/>
      <sz val="10"/>
      <color theme="1"/>
      <name val="Arial"/>
    </font>
    <font>
      <sz val="10"/>
      <color theme="1"/>
      <name val="Arial"/>
    </font>
    <font>
      <b/>
      <sz val="10"/>
      <color theme="1"/>
      <name val="Aptos Narrow"/>
      <scheme val="minor"/>
    </font>
    <font>
      <sz val="10"/>
      <color theme="1"/>
      <name val="Aptos Narrow"/>
      <scheme val="minor"/>
    </font>
    <font>
      <sz val="12"/>
      <color theme="1"/>
      <name val="Aptos Narrow"/>
      <family val="2"/>
      <scheme val="minor"/>
    </font>
    <font>
      <sz val="11"/>
      <color theme="1"/>
      <name val="Arial"/>
      <family val="2"/>
    </font>
    <font>
      <sz val="8"/>
      <name val="Aptos Narrow"/>
      <family val="2"/>
      <scheme val="minor"/>
    </font>
    <font>
      <b/>
      <sz val="11"/>
      <color theme="1"/>
      <name val="Aptos Narrow"/>
      <family val="2"/>
      <scheme val="minor"/>
    </font>
    <font>
      <sz val="11"/>
      <color rgb="FF006100"/>
      <name val="Aptos Narrow"/>
      <family val="2"/>
      <scheme val="minor"/>
    </font>
    <font>
      <b/>
      <sz val="18"/>
      <color theme="1"/>
      <name val="Aptos Narrow"/>
      <family val="2"/>
      <scheme val="minor"/>
    </font>
    <font>
      <b/>
      <sz val="12"/>
      <name val="Aptos Narrow"/>
      <family val="2"/>
      <scheme val="minor"/>
    </font>
    <font>
      <sz val="11"/>
      <color theme="0"/>
      <name val="Aptos Narrow"/>
      <family val="2"/>
      <scheme val="minor"/>
    </font>
    <font>
      <b/>
      <sz val="11"/>
      <color theme="0"/>
      <name val="Aptos Narrow"/>
      <family val="2"/>
      <scheme val="minor"/>
    </font>
    <font>
      <sz val="11"/>
      <color theme="1"/>
      <name val="Aptos Narrow"/>
      <family val="2"/>
      <charset val="1"/>
    </font>
    <font>
      <sz val="10"/>
      <color rgb="FF000000"/>
      <name val="Aptos Narrow"/>
      <family val="2"/>
    </font>
    <font>
      <b/>
      <sz val="11"/>
      <color theme="1"/>
      <name val="Aptos Narrow"/>
      <family val="2"/>
      <charset val="1"/>
    </font>
    <font>
      <sz val="11"/>
      <color rgb="FF006100"/>
      <name val="Aptos Narrow"/>
      <family val="2"/>
      <charset val="1"/>
    </font>
  </fonts>
  <fills count="8">
    <fill>
      <patternFill patternType="none"/>
    </fill>
    <fill>
      <patternFill patternType="gray125"/>
    </fill>
    <fill>
      <patternFill patternType="solid">
        <fgColor rgb="FFEFEFEF"/>
        <bgColor rgb="FFEFEFEF"/>
      </patternFill>
    </fill>
    <fill>
      <patternFill patternType="solid">
        <fgColor rgb="FFC6EFCE"/>
      </patternFill>
    </fill>
    <fill>
      <patternFill patternType="solid">
        <fgColor theme="0"/>
        <bgColor indexed="64"/>
      </patternFill>
    </fill>
    <fill>
      <patternFill patternType="solid">
        <fgColor theme="6"/>
      </patternFill>
    </fill>
    <fill>
      <patternFill patternType="solid">
        <fgColor theme="6"/>
        <bgColor indexed="64"/>
      </patternFill>
    </fill>
    <fill>
      <patternFill patternType="solid">
        <fgColor rgb="FFC6EFCE"/>
        <bgColor rgb="FFD5F5E3"/>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3">
    <xf numFmtId="0" fontId="0" fillId="0" borderId="0"/>
    <xf numFmtId="0" fontId="1" fillId="0" borderId="0"/>
    <xf numFmtId="0" fontId="12" fillId="3" borderId="0" applyNumberFormat="0" applyBorder="0" applyAlignment="0" applyProtection="0"/>
    <xf numFmtId="0" fontId="15" fillId="5" borderId="0" applyNumberFormat="0" applyBorder="0" applyAlignment="0" applyProtection="0"/>
    <xf numFmtId="0" fontId="17" fillId="0" borderId="0"/>
    <xf numFmtId="0" fontId="18" fillId="0" borderId="0"/>
    <xf numFmtId="0" fontId="17" fillId="0" borderId="0" applyBorder="0" applyProtection="0"/>
    <xf numFmtId="0" fontId="17" fillId="0" borderId="0" applyBorder="0" applyProtection="0"/>
    <xf numFmtId="0" fontId="17" fillId="0" borderId="0" applyBorder="0" applyProtection="0"/>
    <xf numFmtId="0" fontId="17" fillId="0" borderId="0" applyBorder="0" applyProtection="0">
      <alignment horizontal="left"/>
    </xf>
    <xf numFmtId="0" fontId="19" fillId="0" borderId="0" applyBorder="0" applyProtection="0">
      <alignment horizontal="left"/>
    </xf>
    <xf numFmtId="0" fontId="19" fillId="0" borderId="0" applyBorder="0" applyProtection="0"/>
    <xf numFmtId="0" fontId="20" fillId="7" borderId="0"/>
  </cellStyleXfs>
  <cellXfs count="90">
    <xf numFmtId="0" fontId="0" fillId="0" borderId="0" xfId="0"/>
    <xf numFmtId="0" fontId="3" fillId="2" borderId="0" xfId="1" applyFont="1" applyFill="1" applyAlignment="1">
      <alignment horizontal="center" vertical="center"/>
    </xf>
    <xf numFmtId="0" fontId="4" fillId="0" borderId="0" xfId="1" applyFont="1" applyAlignment="1">
      <alignment horizontal="center" vertical="center"/>
    </xf>
    <xf numFmtId="0" fontId="5" fillId="0" borderId="0" xfId="1" applyFont="1" applyAlignment="1">
      <alignment horizontal="left" vertical="center"/>
    </xf>
    <xf numFmtId="0" fontId="5" fillId="0" borderId="0" xfId="1" applyFont="1" applyAlignment="1">
      <alignment horizontal="center" vertical="center"/>
    </xf>
    <xf numFmtId="0" fontId="6" fillId="0" borderId="0" xfId="1" applyFont="1" applyAlignment="1">
      <alignment horizontal="center" vertical="center"/>
    </xf>
    <xf numFmtId="0" fontId="7" fillId="0" borderId="0" xfId="1" applyFont="1" applyAlignment="1">
      <alignment horizontal="center"/>
    </xf>
    <xf numFmtId="0" fontId="7" fillId="0" borderId="0" xfId="1" applyFont="1"/>
    <xf numFmtId="0" fontId="7" fillId="0" borderId="0" xfId="1" applyFont="1" applyAlignment="1">
      <alignment horizontal="center" vertical="center"/>
    </xf>
    <xf numFmtId="0" fontId="5" fillId="0" borderId="0" xfId="1" applyFont="1" applyAlignment="1">
      <alignment horizontal="center"/>
    </xf>
    <xf numFmtId="0" fontId="5" fillId="0" borderId="0" xfId="1" applyFont="1"/>
    <xf numFmtId="16" fontId="8" fillId="0" borderId="0" xfId="0" applyNumberFormat="1" applyFont="1" applyAlignment="1">
      <alignment horizontal="center" vertical="center"/>
    </xf>
    <xf numFmtId="0" fontId="8" fillId="0" borderId="0" xfId="0" applyFont="1"/>
    <xf numFmtId="14" fontId="9" fillId="0" borderId="0" xfId="1" applyNumberFormat="1" applyFont="1" applyAlignment="1">
      <alignment horizontal="center" vertical="center"/>
    </xf>
    <xf numFmtId="14" fontId="9" fillId="0" borderId="0" xfId="0" applyNumberFormat="1" applyFont="1" applyAlignment="1">
      <alignment horizontal="center" vertical="center"/>
    </xf>
    <xf numFmtId="0" fontId="9" fillId="0" borderId="0" xfId="1" applyFont="1" applyAlignment="1">
      <alignment horizontal="left" vertical="center"/>
    </xf>
    <xf numFmtId="0" fontId="9" fillId="0" borderId="0" xfId="0" applyFont="1" applyAlignment="1">
      <alignment horizontal="left" vertical="center"/>
    </xf>
    <xf numFmtId="0" fontId="9" fillId="0" borderId="0" xfId="0" applyFont="1" applyAlignment="1">
      <alignment horizontal="center" vertical="center"/>
    </xf>
    <xf numFmtId="0" fontId="9" fillId="0" borderId="0" xfId="1" applyFont="1"/>
    <xf numFmtId="0" fontId="9" fillId="0" borderId="0" xfId="0" applyFont="1"/>
    <xf numFmtId="0" fontId="9" fillId="0" borderId="0" xfId="1" applyFont="1" applyAlignment="1">
      <alignment horizontal="right" vertical="center"/>
    </xf>
    <xf numFmtId="0" fontId="9" fillId="0" borderId="0" xfId="1" applyFont="1" applyAlignment="1">
      <alignment horizontal="right"/>
    </xf>
    <xf numFmtId="0" fontId="9" fillId="0" borderId="0" xfId="0" applyFont="1" applyAlignment="1">
      <alignment horizontal="right"/>
    </xf>
    <xf numFmtId="0" fontId="11" fillId="0" borderId="2" xfId="0" pivotButton="1" applyFont="1" applyBorder="1" applyAlignment="1">
      <alignment horizontal="center" vertical="center"/>
    </xf>
    <xf numFmtId="0" fontId="11" fillId="0" borderId="3" xfId="0" applyFont="1" applyBorder="1" applyAlignment="1">
      <alignment horizontal="center" vertical="center"/>
    </xf>
    <xf numFmtId="0" fontId="0" fillId="0" borderId="4" xfId="0" applyBorder="1" applyAlignment="1">
      <alignment horizontal="left"/>
    </xf>
    <xf numFmtId="0" fontId="0" fillId="0" borderId="6" xfId="0" applyBorder="1" applyAlignment="1">
      <alignment horizontal="left"/>
    </xf>
    <xf numFmtId="0" fontId="0" fillId="0" borderId="2" xfId="0" pivotButton="1" applyBorder="1"/>
    <xf numFmtId="0" fontId="0" fillId="0" borderId="8" xfId="0" pivotButton="1" applyBorder="1"/>
    <xf numFmtId="0" fontId="0" fillId="0" borderId="8" xfId="0" applyBorder="1"/>
    <xf numFmtId="0" fontId="0" fillId="0" borderId="3" xfId="0" applyBorder="1"/>
    <xf numFmtId="0" fontId="11" fillId="0" borderId="4" xfId="0" pivotButton="1" applyFont="1" applyBorder="1" applyAlignment="1">
      <alignment horizontal="center" vertical="center"/>
    </xf>
    <xf numFmtId="0" fontId="11" fillId="0" borderId="5" xfId="0" applyFont="1" applyBorder="1" applyAlignment="1">
      <alignment horizontal="center" vertical="center"/>
    </xf>
    <xf numFmtId="14" fontId="0" fillId="0" borderId="4" xfId="0" applyNumberFormat="1" applyBorder="1" applyAlignment="1">
      <alignment horizontal="left"/>
    </xf>
    <xf numFmtId="14" fontId="0" fillId="0" borderId="6" xfId="0" applyNumberFormat="1"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 xfId="0" applyBorder="1" applyAlignment="1">
      <alignment horizontal="left"/>
    </xf>
    <xf numFmtId="0" fontId="11" fillId="0" borderId="1" xfId="0" pivotButton="1" applyFont="1" applyBorder="1" applyAlignment="1">
      <alignment horizontal="center" vertical="center"/>
    </xf>
    <xf numFmtId="0" fontId="11" fillId="0" borderId="1" xfId="0" applyFont="1" applyBorder="1" applyAlignment="1">
      <alignment horizontal="center" vertical="center"/>
    </xf>
    <xf numFmtId="0" fontId="0" fillId="0" borderId="5" xfId="0" applyBorder="1"/>
    <xf numFmtId="0" fontId="0" fillId="0" borderId="7" xfId="0" applyBorder="1"/>
    <xf numFmtId="0" fontId="0" fillId="0" borderId="10" xfId="0" applyBorder="1"/>
    <xf numFmtId="0" fontId="0" fillId="0" borderId="11" xfId="0" applyBorder="1"/>
    <xf numFmtId="0" fontId="0" fillId="0" borderId="12" xfId="0" applyBorder="1"/>
    <xf numFmtId="0" fontId="0" fillId="0" borderId="1" xfId="0" pivotButton="1" applyBorder="1" applyAlignment="1">
      <alignment horizontal="center" vertical="center"/>
    </xf>
    <xf numFmtId="0" fontId="0" fillId="0" borderId="1" xfId="0" applyBorder="1" applyAlignment="1">
      <alignment horizontal="center" vertical="center"/>
    </xf>
    <xf numFmtId="166" fontId="9" fillId="0" borderId="0" xfId="1" applyNumberFormat="1" applyFont="1" applyAlignment="1">
      <alignment horizontal="right" vertical="center"/>
    </xf>
    <xf numFmtId="166" fontId="0" fillId="0" borderId="0" xfId="0" applyNumberFormat="1" applyAlignment="1">
      <alignment horizontal="right"/>
    </xf>
    <xf numFmtId="0" fontId="11" fillId="0" borderId="0" xfId="0" applyFont="1" applyAlignment="1">
      <alignment horizontal="center" vertical="center"/>
    </xf>
    <xf numFmtId="0" fontId="0" fillId="0" borderId="9" xfId="0" applyBorder="1"/>
    <xf numFmtId="0" fontId="0" fillId="0" borderId="2" xfId="0" applyBorder="1"/>
    <xf numFmtId="0" fontId="0" fillId="0" borderId="4" xfId="0" applyBorder="1"/>
    <xf numFmtId="0" fontId="0" fillId="0" borderId="6" xfId="0" applyBorder="1"/>
    <xf numFmtId="0" fontId="0" fillId="0" borderId="1" xfId="0" pivotButton="1" applyBorder="1"/>
    <xf numFmtId="0" fontId="0" fillId="0" borderId="13" xfId="0" applyBorder="1"/>
    <xf numFmtId="0" fontId="0" fillId="0" borderId="14" xfId="0" applyBorder="1"/>
    <xf numFmtId="0" fontId="0" fillId="0" borderId="15" xfId="0" applyBorder="1"/>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10" fontId="0" fillId="0" borderId="10" xfId="0" applyNumberFormat="1" applyBorder="1"/>
    <xf numFmtId="10" fontId="0" fillId="0" borderId="11" xfId="0" applyNumberFormat="1" applyBorder="1"/>
    <xf numFmtId="10" fontId="0" fillId="0" borderId="12" xfId="0" applyNumberFormat="1" applyBorder="1"/>
    <xf numFmtId="14" fontId="0" fillId="4" borderId="4" xfId="0" applyNumberFormat="1" applyFill="1" applyBorder="1" applyAlignment="1">
      <alignment horizontal="left"/>
    </xf>
    <xf numFmtId="14" fontId="0" fillId="0" borderId="0" xfId="0" applyNumberFormat="1"/>
    <xf numFmtId="2" fontId="0" fillId="0" borderId="0" xfId="0" applyNumberFormat="1"/>
    <xf numFmtId="0" fontId="13" fillId="0" borderId="0" xfId="0" applyFont="1" applyAlignment="1">
      <alignment vertical="center"/>
    </xf>
    <xf numFmtId="0" fontId="0" fillId="0" borderId="2" xfId="0" pivotButton="1" applyBorder="1" applyAlignment="1">
      <alignment horizontal="center" vertical="center"/>
    </xf>
    <xf numFmtId="0" fontId="0" fillId="0" borderId="3" xfId="0" applyBorder="1" applyAlignment="1">
      <alignment horizontal="center" vertical="center"/>
    </xf>
    <xf numFmtId="166" fontId="0" fillId="0" borderId="5" xfId="0" applyNumberFormat="1" applyBorder="1"/>
    <xf numFmtId="166" fontId="0" fillId="0" borderId="7" xfId="0" applyNumberFormat="1" applyBorder="1"/>
    <xf numFmtId="167" fontId="0" fillId="0" borderId="5" xfId="0" applyNumberFormat="1" applyBorder="1"/>
    <xf numFmtId="167" fontId="0" fillId="0" borderId="7" xfId="0" applyNumberFormat="1" applyBorder="1"/>
    <xf numFmtId="0" fontId="16" fillId="6" borderId="0" xfId="3" applyFont="1" applyFill="1" applyAlignment="1">
      <alignment horizontal="center" vertical="center"/>
    </xf>
    <xf numFmtId="166" fontId="16" fillId="6" borderId="0" xfId="3" applyNumberFormat="1" applyFont="1" applyFill="1" applyAlignment="1">
      <alignment horizontal="center" vertical="center"/>
    </xf>
    <xf numFmtId="16" fontId="8" fillId="0" borderId="0" xfId="0" applyNumberFormat="1" applyFont="1" applyAlignment="1">
      <alignment horizontal="center" vertical="center"/>
    </xf>
    <xf numFmtId="0" fontId="8" fillId="0" borderId="0" xfId="0" applyFont="1" applyAlignment="1">
      <alignment horizontal="left" vertical="center"/>
    </xf>
    <xf numFmtId="0" fontId="7" fillId="0" borderId="0" xfId="1" applyFont="1" applyAlignment="1">
      <alignment horizontal="center" vertical="center"/>
    </xf>
    <xf numFmtId="0" fontId="2" fillId="0" borderId="0" xfId="1" applyFont="1"/>
    <xf numFmtId="0" fontId="7" fillId="0" borderId="0" xfId="1" applyFont="1" applyAlignment="1">
      <alignment horizontal="center"/>
    </xf>
    <xf numFmtId="165" fontId="7" fillId="0" borderId="0" xfId="1" applyNumberFormat="1" applyFont="1" applyAlignment="1">
      <alignment horizontal="center" vertical="center"/>
    </xf>
    <xf numFmtId="0" fontId="5" fillId="0" borderId="0" xfId="1" applyFont="1" applyAlignment="1">
      <alignment horizontal="center" vertical="center"/>
    </xf>
    <xf numFmtId="164" fontId="3" fillId="0" borderId="0" xfId="1" applyNumberFormat="1" applyFont="1" applyAlignment="1">
      <alignment horizontal="center" vertical="center"/>
    </xf>
    <xf numFmtId="0" fontId="4" fillId="0" borderId="0" xfId="1" applyFont="1" applyAlignment="1">
      <alignment horizontal="center" vertical="center"/>
    </xf>
    <xf numFmtId="0" fontId="6" fillId="0" borderId="0" xfId="1" applyFont="1" applyAlignment="1">
      <alignment horizontal="center" vertical="center"/>
    </xf>
    <xf numFmtId="0" fontId="14" fillId="3" borderId="13" xfId="2" applyFont="1" applyBorder="1" applyAlignment="1">
      <alignment horizontal="center"/>
    </xf>
    <xf numFmtId="0" fontId="12" fillId="3" borderId="14" xfId="2" applyBorder="1" applyAlignment="1">
      <alignment horizontal="center"/>
    </xf>
    <xf numFmtId="0" fontId="12" fillId="3" borderId="15" xfId="2" applyBorder="1" applyAlignment="1">
      <alignment horizontal="center"/>
    </xf>
  </cellXfs>
  <cellStyles count="13">
    <cellStyle name="Accent3" xfId="3" builtinId="37"/>
    <cellStyle name="Excel Built-in Good" xfId="12" xr:uid="{EFB88C8C-D814-4F6D-AD76-743F648F0EE6}"/>
    <cellStyle name="Good" xfId="2" builtinId="26"/>
    <cellStyle name="Normal" xfId="0" builtinId="0"/>
    <cellStyle name="Normal 2" xfId="1" xr:uid="{0AFD93B9-CA98-4D16-8D21-DBBAADFC45A7}"/>
    <cellStyle name="Normal 2 2" xfId="5" xr:uid="{B0A8DE1A-E218-443D-BF11-3DF4FB610097}"/>
    <cellStyle name="Normal 3" xfId="4" xr:uid="{7183275D-9B69-4770-9A9C-B01C76E6CC25}"/>
    <cellStyle name="Pivot Table Category" xfId="9" xr:uid="{2BB98F36-47BD-47B3-8BFA-01701987A3AE}"/>
    <cellStyle name="Pivot Table Corner" xfId="6" xr:uid="{2CDF6E6D-D0AD-4748-BCE8-294F2C437E42}"/>
    <cellStyle name="Pivot Table Field" xfId="8" xr:uid="{3C628A87-05DC-409F-876C-357107194674}"/>
    <cellStyle name="Pivot Table Result" xfId="11" xr:uid="{CA9FBB1D-5092-4695-94A2-95BA671780FD}"/>
    <cellStyle name="Pivot Table Title" xfId="10" xr:uid="{72878252-E7AA-4F73-9D4F-8D2F68FF925A}"/>
    <cellStyle name="Pivot Table Value" xfId="7" xr:uid="{9E18F442-EE52-43CE-9879-034086157AB9}"/>
  </cellStyles>
  <dxfs count="13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alignment horizontal="center"/>
    </dxf>
    <dxf>
      <alignment horizontal="center"/>
    </dxf>
    <dxf>
      <alignment vertical="center"/>
    </dxf>
    <dxf>
      <alignment vertical="center"/>
    </dxf>
    <dxf>
      <numFmt numFmtId="167"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border>
        <bottom style="thin">
          <color indexed="64"/>
        </bottom>
      </border>
    </dxf>
    <dxf>
      <alignment horizontal="center"/>
    </dxf>
    <dxf>
      <alignment horizontal="center"/>
    </dxf>
    <dxf>
      <alignment vertical="center"/>
    </dxf>
    <dxf>
      <alignment vertical="cent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horizontal="center"/>
    </dxf>
    <dxf>
      <alignment vertical="center"/>
    </dxf>
    <dxf>
      <alignment horizontal="center"/>
    </dxf>
    <dxf>
      <border>
        <left style="medium">
          <color indexed="64"/>
        </left>
        <right style="medium">
          <color indexed="64"/>
        </right>
        <top style="medium">
          <color indexed="64"/>
        </top>
        <bottom style="medium">
          <color indexed="64"/>
        </bottom>
      </border>
    </dxf>
    <dxf>
      <font>
        <b/>
      </font>
    </dxf>
    <dxf>
      <font>
        <b/>
      </font>
    </dxf>
    <dxf>
      <font>
        <b/>
      </font>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font>
        <color rgb="FF9C0006"/>
      </font>
      <fill>
        <patternFill>
          <bgColor rgb="FFFFC7CE"/>
        </patternFill>
      </fill>
    </dxf>
    <dxf>
      <font>
        <color rgb="FF006100"/>
      </font>
      <fill>
        <patternFill>
          <bgColor rgb="FFC6EFCE"/>
        </patternFill>
      </fill>
    </dxf>
    <dxf>
      <numFmt numFmtId="2" formatCode="0.00"/>
    </dxf>
    <dxf>
      <numFmt numFmtId="2" formatCode="0.00"/>
    </dxf>
    <dxf>
      <numFmt numFmtId="19" formatCode="dd/mm/yyyy"/>
    </dxf>
    <dxf>
      <font>
        <b val="0"/>
        <i val="0"/>
        <strike val="0"/>
        <condense val="0"/>
        <extend val="0"/>
        <outline val="0"/>
        <shadow val="0"/>
        <u val="none"/>
        <vertAlign val="baseline"/>
        <sz val="11"/>
        <color theme="1"/>
        <name val="Arial"/>
        <family val="2"/>
        <scheme val="none"/>
      </font>
      <numFmt numFmtId="166" formatCode="&quot;₹&quot;\ #,##0"/>
      <alignment horizontal="righ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font>
        <b/>
      </font>
      <fill>
        <patternFill patternType="solid">
          <fgColor indexed="64"/>
          <bgColor theme="6"/>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Meal Subscription Analytics Project.xlsx]Pivot_Table!PivotTable1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a:t>
            </a:r>
            <a:r>
              <a:rPr lang="en-US" b="1" baseline="0">
                <a:solidFill>
                  <a:sysClr val="windowText" lastClr="000000"/>
                </a:solidFill>
              </a:rPr>
              <a:t>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Pivot_Table!$C$2</c:f>
              <c:strCache>
                <c:ptCount val="1"/>
                <c:pt idx="0">
                  <c:v>Total</c:v>
                </c:pt>
              </c:strCache>
            </c:strRef>
          </c:tx>
          <c:spPr>
            <a:solidFill>
              <a:schemeClr val="tx2">
                <a:lumMod val="50000"/>
                <a:lumOff val="50000"/>
              </a:schemeClr>
            </a:solidFill>
            <a:ln w="1905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Pivot_Table!$B$3:$B$6</c:f>
              <c:strCache>
                <c:ptCount val="3"/>
                <c:pt idx="0">
                  <c:v>Jan</c:v>
                </c:pt>
                <c:pt idx="1">
                  <c:v>Nov</c:v>
                </c:pt>
                <c:pt idx="2">
                  <c:v>Dec</c:v>
                </c:pt>
              </c:strCache>
            </c:strRef>
          </c:cat>
          <c:val>
            <c:numRef>
              <c:f>Pivot_Table!$C$3:$C$6</c:f>
              <c:numCache>
                <c:formatCode>General</c:formatCode>
                <c:ptCount val="3"/>
                <c:pt idx="0">
                  <c:v>11069</c:v>
                </c:pt>
                <c:pt idx="1">
                  <c:v>21817</c:v>
                </c:pt>
                <c:pt idx="2">
                  <c:v>19012</c:v>
                </c:pt>
              </c:numCache>
            </c:numRef>
          </c:val>
          <c:extLst>
            <c:ext xmlns:c16="http://schemas.microsoft.com/office/drawing/2014/chart" uri="{C3380CC4-5D6E-409C-BE32-E72D297353CC}">
              <c16:uniqueId val="{00000000-0E23-4689-BF50-BE13463A0AB1}"/>
            </c:ext>
          </c:extLst>
        </c:ser>
        <c:dLbls>
          <c:dLblPos val="outEnd"/>
          <c:showLegendKey val="0"/>
          <c:showVal val="1"/>
          <c:showCatName val="0"/>
          <c:showSerName val="0"/>
          <c:showPercent val="0"/>
          <c:showBubbleSize val="0"/>
        </c:dLbls>
        <c:gapWidth val="219"/>
        <c:overlap val="-27"/>
        <c:axId val="1196330959"/>
        <c:axId val="1196335279"/>
      </c:barChart>
      <c:catAx>
        <c:axId val="1196330959"/>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Month</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335279"/>
        <c:crosses val="autoZero"/>
        <c:auto val="1"/>
        <c:lblAlgn val="ctr"/>
        <c:lblOffset val="100"/>
        <c:noMultiLvlLbl val="0"/>
      </c:catAx>
      <c:valAx>
        <c:axId val="1196335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Total</a:t>
                </a:r>
                <a:r>
                  <a:rPr lang="en-IN" b="1" baseline="0">
                    <a:solidFill>
                      <a:sysClr val="windowText" lastClr="000000"/>
                    </a:solidFill>
                  </a:rPr>
                  <a:t> Revenue</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33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Meal Subscription Analytics Project.xlsx]Pivot_Table!PivotTable2</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a:t>
            </a:r>
            <a:r>
              <a:rPr lang="en-US" b="1" baseline="0">
                <a:solidFill>
                  <a:sysClr val="windowText" lastClr="000000"/>
                </a:solidFill>
              </a:rPr>
              <a:t> Distribution by Time Slot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lumMod val="60000"/>
              <a:lumOff val="4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Pivot_Table!$F$2</c:f>
              <c:strCache>
                <c:ptCount val="1"/>
                <c:pt idx="0">
                  <c:v>Total</c:v>
                </c:pt>
              </c:strCache>
            </c:strRef>
          </c:tx>
          <c:spPr>
            <a:solidFill>
              <a:schemeClr val="accent6">
                <a:lumMod val="60000"/>
                <a:lumOff val="40000"/>
              </a:schemeClr>
            </a:solidFill>
            <a:ln w="1905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Pivot_Table!$E$3:$E$6</c:f>
              <c:strCache>
                <c:ptCount val="3"/>
                <c:pt idx="0">
                  <c:v>Afternoon</c:v>
                </c:pt>
                <c:pt idx="1">
                  <c:v>Morning</c:v>
                </c:pt>
                <c:pt idx="2">
                  <c:v>Night</c:v>
                </c:pt>
              </c:strCache>
            </c:strRef>
          </c:cat>
          <c:val>
            <c:numRef>
              <c:f>Pivot_Table!$F$3:$F$6</c:f>
              <c:numCache>
                <c:formatCode>General</c:formatCode>
                <c:ptCount val="3"/>
                <c:pt idx="0">
                  <c:v>31690</c:v>
                </c:pt>
                <c:pt idx="1">
                  <c:v>12354</c:v>
                </c:pt>
                <c:pt idx="2">
                  <c:v>7854</c:v>
                </c:pt>
              </c:numCache>
            </c:numRef>
          </c:val>
          <c:extLst>
            <c:ext xmlns:c16="http://schemas.microsoft.com/office/drawing/2014/chart" uri="{C3380CC4-5D6E-409C-BE32-E72D297353CC}">
              <c16:uniqueId val="{00000000-1AC0-427F-8E49-370E6149FF62}"/>
            </c:ext>
          </c:extLst>
        </c:ser>
        <c:dLbls>
          <c:dLblPos val="inEnd"/>
          <c:showLegendKey val="0"/>
          <c:showVal val="1"/>
          <c:showCatName val="0"/>
          <c:showSerName val="0"/>
          <c:showPercent val="0"/>
          <c:showBubbleSize val="0"/>
        </c:dLbls>
        <c:gapWidth val="182"/>
        <c:axId val="940889727"/>
        <c:axId val="940891167"/>
      </c:barChart>
      <c:catAx>
        <c:axId val="940889727"/>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Time</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91167"/>
        <c:crosses val="autoZero"/>
        <c:auto val="1"/>
        <c:lblAlgn val="ctr"/>
        <c:lblOffset val="100"/>
        <c:noMultiLvlLbl val="0"/>
      </c:catAx>
      <c:valAx>
        <c:axId val="9408911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Total</a:t>
                </a:r>
                <a:r>
                  <a:rPr lang="en-IN" b="1" baseline="0">
                    <a:solidFill>
                      <a:sysClr val="windowText" lastClr="000000"/>
                    </a:solidFill>
                  </a:rPr>
                  <a:t> Revenue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8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Meal Subscription Analytics Project.xlsx]Pivot_Table!PivotTable8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Quarterly</a:t>
            </a:r>
            <a:r>
              <a:rPr lang="en-IN" b="1" baseline="0">
                <a:solidFill>
                  <a:sysClr val="windowText" lastClr="000000"/>
                </a:solidFill>
              </a:rPr>
              <a:t> Revenue by Meal Time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Pivot_Table!$I$49:$I$50</c:f>
              <c:strCache>
                <c:ptCount val="1"/>
                <c:pt idx="0">
                  <c:v>Jan</c:v>
                </c:pt>
              </c:strCache>
            </c:strRef>
          </c:tx>
          <c:spPr>
            <a:solidFill>
              <a:schemeClr val="accent2"/>
            </a:solidFill>
            <a:ln w="19050">
              <a:solidFill>
                <a:schemeClr val="tx1"/>
              </a:solidFill>
            </a:ln>
            <a:effectLst/>
          </c:spPr>
          <c:invertIfNegative val="0"/>
          <c:cat>
            <c:strRef>
              <c:f>Pivot_Table!$H$51:$H$54</c:f>
              <c:strCache>
                <c:ptCount val="3"/>
                <c:pt idx="0">
                  <c:v>Afternoon</c:v>
                </c:pt>
                <c:pt idx="1">
                  <c:v>Morning</c:v>
                </c:pt>
                <c:pt idx="2">
                  <c:v>Night</c:v>
                </c:pt>
              </c:strCache>
            </c:strRef>
          </c:cat>
          <c:val>
            <c:numRef>
              <c:f>Pivot_Table!$I$51:$I$54</c:f>
              <c:numCache>
                <c:formatCode>General</c:formatCode>
                <c:ptCount val="3"/>
                <c:pt idx="0">
                  <c:v>7220</c:v>
                </c:pt>
                <c:pt idx="1">
                  <c:v>2749</c:v>
                </c:pt>
                <c:pt idx="2">
                  <c:v>1100</c:v>
                </c:pt>
              </c:numCache>
            </c:numRef>
          </c:val>
          <c:extLst>
            <c:ext xmlns:c16="http://schemas.microsoft.com/office/drawing/2014/chart" uri="{C3380CC4-5D6E-409C-BE32-E72D297353CC}">
              <c16:uniqueId val="{00000000-64DB-4253-8EC5-01879B58C590}"/>
            </c:ext>
          </c:extLst>
        </c:ser>
        <c:ser>
          <c:idx val="1"/>
          <c:order val="1"/>
          <c:tx>
            <c:strRef>
              <c:f>Pivot_Table!$J$49:$J$50</c:f>
              <c:strCache>
                <c:ptCount val="1"/>
                <c:pt idx="0">
                  <c:v>Nov</c:v>
                </c:pt>
              </c:strCache>
            </c:strRef>
          </c:tx>
          <c:spPr>
            <a:solidFill>
              <a:schemeClr val="accent4"/>
            </a:solidFill>
            <a:ln w="19050">
              <a:solidFill>
                <a:sysClr val="windowText" lastClr="000000"/>
              </a:solidFill>
            </a:ln>
            <a:effectLst/>
          </c:spPr>
          <c:invertIfNegative val="0"/>
          <c:cat>
            <c:strRef>
              <c:f>Pivot_Table!$H$51:$H$54</c:f>
              <c:strCache>
                <c:ptCount val="3"/>
                <c:pt idx="0">
                  <c:v>Afternoon</c:v>
                </c:pt>
                <c:pt idx="1">
                  <c:v>Morning</c:v>
                </c:pt>
                <c:pt idx="2">
                  <c:v>Night</c:v>
                </c:pt>
              </c:strCache>
            </c:strRef>
          </c:cat>
          <c:val>
            <c:numRef>
              <c:f>Pivot_Table!$J$51:$J$54</c:f>
              <c:numCache>
                <c:formatCode>General</c:formatCode>
                <c:ptCount val="3"/>
                <c:pt idx="0">
                  <c:v>12895</c:v>
                </c:pt>
                <c:pt idx="1">
                  <c:v>5047</c:v>
                </c:pt>
                <c:pt idx="2">
                  <c:v>3875</c:v>
                </c:pt>
              </c:numCache>
            </c:numRef>
          </c:val>
          <c:extLst>
            <c:ext xmlns:c16="http://schemas.microsoft.com/office/drawing/2014/chart" uri="{C3380CC4-5D6E-409C-BE32-E72D297353CC}">
              <c16:uniqueId val="{00000001-64DB-4253-8EC5-01879B58C590}"/>
            </c:ext>
          </c:extLst>
        </c:ser>
        <c:ser>
          <c:idx val="2"/>
          <c:order val="2"/>
          <c:tx>
            <c:strRef>
              <c:f>Pivot_Table!$K$49:$K$50</c:f>
              <c:strCache>
                <c:ptCount val="1"/>
                <c:pt idx="0">
                  <c:v>Dec</c:v>
                </c:pt>
              </c:strCache>
            </c:strRef>
          </c:tx>
          <c:spPr>
            <a:solidFill>
              <a:schemeClr val="accent6"/>
            </a:solidFill>
            <a:ln w="19050">
              <a:solidFill>
                <a:sysClr val="windowText" lastClr="000000"/>
              </a:solidFill>
            </a:ln>
            <a:effectLst/>
          </c:spPr>
          <c:invertIfNegative val="0"/>
          <c:cat>
            <c:strRef>
              <c:f>Pivot_Table!$H$51:$H$54</c:f>
              <c:strCache>
                <c:ptCount val="3"/>
                <c:pt idx="0">
                  <c:v>Afternoon</c:v>
                </c:pt>
                <c:pt idx="1">
                  <c:v>Morning</c:v>
                </c:pt>
                <c:pt idx="2">
                  <c:v>Night</c:v>
                </c:pt>
              </c:strCache>
            </c:strRef>
          </c:cat>
          <c:val>
            <c:numRef>
              <c:f>Pivot_Table!$K$51:$K$54</c:f>
              <c:numCache>
                <c:formatCode>General</c:formatCode>
                <c:ptCount val="3"/>
                <c:pt idx="0">
                  <c:v>11575</c:v>
                </c:pt>
                <c:pt idx="1">
                  <c:v>4558</c:v>
                </c:pt>
                <c:pt idx="2">
                  <c:v>2879</c:v>
                </c:pt>
              </c:numCache>
            </c:numRef>
          </c:val>
          <c:extLst>
            <c:ext xmlns:c16="http://schemas.microsoft.com/office/drawing/2014/chart" uri="{C3380CC4-5D6E-409C-BE32-E72D297353CC}">
              <c16:uniqueId val="{00000002-64DB-4253-8EC5-01879B58C590}"/>
            </c:ext>
          </c:extLst>
        </c:ser>
        <c:dLbls>
          <c:showLegendKey val="0"/>
          <c:showVal val="0"/>
          <c:showCatName val="0"/>
          <c:showSerName val="0"/>
          <c:showPercent val="0"/>
          <c:showBubbleSize val="0"/>
        </c:dLbls>
        <c:gapWidth val="219"/>
        <c:overlap val="-27"/>
        <c:axId val="1575510383"/>
        <c:axId val="1575527183"/>
      </c:barChart>
      <c:catAx>
        <c:axId val="1575510383"/>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Time</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527183"/>
        <c:crosses val="autoZero"/>
        <c:auto val="1"/>
        <c:lblAlgn val="ctr"/>
        <c:lblOffset val="100"/>
        <c:noMultiLvlLbl val="0"/>
      </c:catAx>
      <c:valAx>
        <c:axId val="157552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Total</a:t>
                </a:r>
                <a:r>
                  <a:rPr lang="en-IN" b="1" baseline="0">
                    <a:solidFill>
                      <a:sysClr val="windowText" lastClr="000000"/>
                    </a:solidFill>
                  </a:rPr>
                  <a:t> Revenue</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51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Meal Subscription Analytics Project.xlsx]Pivot_Table!PivotTable1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a:t>
            </a:r>
            <a:r>
              <a:rPr lang="en-US" b="1" baseline="0">
                <a:solidFill>
                  <a:sysClr val="windowText" lastClr="000000"/>
                </a:solidFill>
              </a:rPr>
              <a:t>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Pivot_Table!$C$2</c:f>
              <c:strCache>
                <c:ptCount val="1"/>
                <c:pt idx="0">
                  <c:v>Total</c:v>
                </c:pt>
              </c:strCache>
            </c:strRef>
          </c:tx>
          <c:spPr>
            <a:solidFill>
              <a:schemeClr val="tx2">
                <a:lumMod val="50000"/>
                <a:lumOff val="50000"/>
              </a:schemeClr>
            </a:solidFill>
            <a:ln w="1905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Pivot_Table!$B$3:$B$6</c:f>
              <c:strCache>
                <c:ptCount val="3"/>
                <c:pt idx="0">
                  <c:v>Jan</c:v>
                </c:pt>
                <c:pt idx="1">
                  <c:v>Nov</c:v>
                </c:pt>
                <c:pt idx="2">
                  <c:v>Dec</c:v>
                </c:pt>
              </c:strCache>
            </c:strRef>
          </c:cat>
          <c:val>
            <c:numRef>
              <c:f>Pivot_Table!$C$3:$C$6</c:f>
              <c:numCache>
                <c:formatCode>General</c:formatCode>
                <c:ptCount val="3"/>
                <c:pt idx="0">
                  <c:v>11069</c:v>
                </c:pt>
                <c:pt idx="1">
                  <c:v>21817</c:v>
                </c:pt>
                <c:pt idx="2">
                  <c:v>19012</c:v>
                </c:pt>
              </c:numCache>
            </c:numRef>
          </c:val>
          <c:extLst>
            <c:ext xmlns:c16="http://schemas.microsoft.com/office/drawing/2014/chart" uri="{C3380CC4-5D6E-409C-BE32-E72D297353CC}">
              <c16:uniqueId val="{00000000-EE6D-4FFA-B32B-414E28DED463}"/>
            </c:ext>
          </c:extLst>
        </c:ser>
        <c:dLbls>
          <c:dLblPos val="outEnd"/>
          <c:showLegendKey val="0"/>
          <c:showVal val="1"/>
          <c:showCatName val="0"/>
          <c:showSerName val="0"/>
          <c:showPercent val="0"/>
          <c:showBubbleSize val="0"/>
        </c:dLbls>
        <c:gapWidth val="219"/>
        <c:overlap val="-27"/>
        <c:axId val="1196330959"/>
        <c:axId val="1196335279"/>
      </c:barChart>
      <c:catAx>
        <c:axId val="1196330959"/>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Month</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335279"/>
        <c:crosses val="autoZero"/>
        <c:auto val="1"/>
        <c:lblAlgn val="ctr"/>
        <c:lblOffset val="100"/>
        <c:noMultiLvlLbl val="0"/>
      </c:catAx>
      <c:valAx>
        <c:axId val="1196335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Total</a:t>
                </a:r>
                <a:r>
                  <a:rPr lang="en-IN" b="1" baseline="0">
                    <a:solidFill>
                      <a:sysClr val="windowText" lastClr="000000"/>
                    </a:solidFill>
                  </a:rPr>
                  <a:t> Revenue</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33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Meal Subscription Analytics Project.xlsx]Pivot_Table!PivotTable2</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a:t>
            </a:r>
            <a:r>
              <a:rPr lang="en-US" b="1" baseline="0">
                <a:solidFill>
                  <a:sysClr val="windowText" lastClr="000000"/>
                </a:solidFill>
              </a:rPr>
              <a:t> Distribution by Time Slot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lumMod val="60000"/>
              <a:lumOff val="4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Pivot_Table!$F$2</c:f>
              <c:strCache>
                <c:ptCount val="1"/>
                <c:pt idx="0">
                  <c:v>Total</c:v>
                </c:pt>
              </c:strCache>
            </c:strRef>
          </c:tx>
          <c:spPr>
            <a:solidFill>
              <a:schemeClr val="accent6">
                <a:lumMod val="60000"/>
                <a:lumOff val="40000"/>
              </a:schemeClr>
            </a:solidFill>
            <a:ln w="1905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Pivot_Table!$E$3:$E$6</c:f>
              <c:strCache>
                <c:ptCount val="3"/>
                <c:pt idx="0">
                  <c:v>Afternoon</c:v>
                </c:pt>
                <c:pt idx="1">
                  <c:v>Morning</c:v>
                </c:pt>
                <c:pt idx="2">
                  <c:v>Night</c:v>
                </c:pt>
              </c:strCache>
            </c:strRef>
          </c:cat>
          <c:val>
            <c:numRef>
              <c:f>Pivot_Table!$F$3:$F$6</c:f>
              <c:numCache>
                <c:formatCode>General</c:formatCode>
                <c:ptCount val="3"/>
                <c:pt idx="0">
                  <c:v>31690</c:v>
                </c:pt>
                <c:pt idx="1">
                  <c:v>12354</c:v>
                </c:pt>
                <c:pt idx="2">
                  <c:v>7854</c:v>
                </c:pt>
              </c:numCache>
            </c:numRef>
          </c:val>
          <c:extLst>
            <c:ext xmlns:c16="http://schemas.microsoft.com/office/drawing/2014/chart" uri="{C3380CC4-5D6E-409C-BE32-E72D297353CC}">
              <c16:uniqueId val="{00000000-500F-4BA5-99BC-331FA767CA40}"/>
            </c:ext>
          </c:extLst>
        </c:ser>
        <c:dLbls>
          <c:dLblPos val="inEnd"/>
          <c:showLegendKey val="0"/>
          <c:showVal val="1"/>
          <c:showCatName val="0"/>
          <c:showSerName val="0"/>
          <c:showPercent val="0"/>
          <c:showBubbleSize val="0"/>
        </c:dLbls>
        <c:gapWidth val="182"/>
        <c:axId val="940889727"/>
        <c:axId val="940891167"/>
      </c:barChart>
      <c:catAx>
        <c:axId val="940889727"/>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Time</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91167"/>
        <c:crosses val="autoZero"/>
        <c:auto val="1"/>
        <c:lblAlgn val="ctr"/>
        <c:lblOffset val="100"/>
        <c:noMultiLvlLbl val="0"/>
      </c:catAx>
      <c:valAx>
        <c:axId val="9408911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Total</a:t>
                </a:r>
                <a:r>
                  <a:rPr lang="en-IN" b="1" baseline="0">
                    <a:solidFill>
                      <a:sysClr val="windowText" lastClr="000000"/>
                    </a:solidFill>
                  </a:rPr>
                  <a:t> Revenue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8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Meal Subscription Analytics Project.xlsx]Pivot_Table!PivotTable6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Revenue</a:t>
            </a:r>
            <a:r>
              <a:rPr lang="en-US" b="1" baseline="0">
                <a:solidFill>
                  <a:sysClr val="windowText" lastClr="000000"/>
                </a:solidFill>
              </a:rPr>
              <a:t> Contribution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s>
    <c:plotArea>
      <c:layout/>
      <c:pieChart>
        <c:varyColors val="1"/>
        <c:ser>
          <c:idx val="0"/>
          <c:order val="0"/>
          <c:tx>
            <c:strRef>
              <c:f>Pivot_Table!$C$9</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DBB-468D-9C9C-AFD13592736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DBB-468D-9C9C-AFD13592736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8DBB-468D-9C9C-AFD1359273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Pivot_Table!$B$10:$B$13</c:f>
              <c:strCache>
                <c:ptCount val="3"/>
                <c:pt idx="0">
                  <c:v>Jan</c:v>
                </c:pt>
                <c:pt idx="1">
                  <c:v>Nov</c:v>
                </c:pt>
                <c:pt idx="2">
                  <c:v>Dec</c:v>
                </c:pt>
              </c:strCache>
            </c:strRef>
          </c:cat>
          <c:val>
            <c:numRef>
              <c:f>Pivot_Table!$C$10:$C$13</c:f>
              <c:numCache>
                <c:formatCode>0.00%</c:formatCode>
                <c:ptCount val="3"/>
                <c:pt idx="0">
                  <c:v>0.21328374889205751</c:v>
                </c:pt>
                <c:pt idx="1">
                  <c:v>0.42038228833481062</c:v>
                </c:pt>
                <c:pt idx="2">
                  <c:v>0.3663339627731319</c:v>
                </c:pt>
              </c:numCache>
            </c:numRef>
          </c:val>
          <c:extLst>
            <c:ext xmlns:c16="http://schemas.microsoft.com/office/drawing/2014/chart" uri="{C3380CC4-5D6E-409C-BE32-E72D297353CC}">
              <c16:uniqueId val="{00000006-8DBB-468D-9C9C-AFD13592736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Meal Subscription Analytics Project.xlsx]Pivot_Table!PivotTable5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Daily</a:t>
            </a:r>
            <a:r>
              <a:rPr lang="en-US" b="1" baseline="0">
                <a:solidFill>
                  <a:sysClr val="windowText" lastClr="000000"/>
                </a:solidFill>
              </a:rPr>
              <a:t> Revenue Trend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Pivot_Table!$O$2</c:f>
              <c:strCache>
                <c:ptCount val="1"/>
                <c:pt idx="0">
                  <c:v>Total</c:v>
                </c:pt>
              </c:strCache>
            </c:strRef>
          </c:tx>
          <c:spPr>
            <a:ln w="28575" cap="rnd">
              <a:solidFill>
                <a:schemeClr val="accent1"/>
              </a:solidFill>
              <a:round/>
            </a:ln>
            <a:effectLst/>
          </c:spPr>
          <c:marker>
            <c:symbol val="none"/>
          </c:marker>
          <c:cat>
            <c:strRef>
              <c:f>Pivot_Table!$N$3:$N$64</c:f>
              <c:strCache>
                <c:ptCount val="61"/>
                <c:pt idx="0">
                  <c:v>03-11-2025</c:v>
                </c:pt>
                <c:pt idx="1">
                  <c:v>04-11-2025</c:v>
                </c:pt>
                <c:pt idx="2">
                  <c:v>05-11-2025</c:v>
                </c:pt>
                <c:pt idx="3">
                  <c:v>06-11-2025</c:v>
                </c:pt>
                <c:pt idx="4">
                  <c:v>07-11-2025</c:v>
                </c:pt>
                <c:pt idx="5">
                  <c:v>10-11-2025</c:v>
                </c:pt>
                <c:pt idx="6">
                  <c:v>11-11-2025</c:v>
                </c:pt>
                <c:pt idx="7">
                  <c:v>12-11-2025</c:v>
                </c:pt>
                <c:pt idx="8">
                  <c:v>13-11-2025</c:v>
                </c:pt>
                <c:pt idx="9">
                  <c:v>14-11-2025</c:v>
                </c:pt>
                <c:pt idx="10">
                  <c:v>17-11-2025</c:v>
                </c:pt>
                <c:pt idx="11">
                  <c:v>18-11-2025</c:v>
                </c:pt>
                <c:pt idx="12">
                  <c:v>19-11-2025</c:v>
                </c:pt>
                <c:pt idx="13">
                  <c:v>20-11-2025</c:v>
                </c:pt>
                <c:pt idx="14">
                  <c:v>21-11-2025</c:v>
                </c:pt>
                <c:pt idx="15">
                  <c:v>24-11-2025</c:v>
                </c:pt>
                <c:pt idx="16">
                  <c:v>25-11-2025</c:v>
                </c:pt>
                <c:pt idx="17">
                  <c:v>26-11-2025</c:v>
                </c:pt>
                <c:pt idx="18">
                  <c:v>27-11-2025</c:v>
                </c:pt>
                <c:pt idx="19">
                  <c:v>28-11-2025</c:v>
                </c:pt>
                <c:pt idx="20">
                  <c:v>01-12-2025</c:v>
                </c:pt>
                <c:pt idx="21">
                  <c:v>02-12-2025</c:v>
                </c:pt>
                <c:pt idx="22">
                  <c:v>03-12-2025</c:v>
                </c:pt>
                <c:pt idx="23">
                  <c:v>04-12-2025</c:v>
                </c:pt>
                <c:pt idx="24">
                  <c:v>05-12-2025</c:v>
                </c:pt>
                <c:pt idx="25">
                  <c:v>08-12-2025</c:v>
                </c:pt>
                <c:pt idx="26">
                  <c:v>09-12-2025</c:v>
                </c:pt>
                <c:pt idx="27">
                  <c:v>10-12-2025</c:v>
                </c:pt>
                <c:pt idx="28">
                  <c:v>11-12-2025</c:v>
                </c:pt>
                <c:pt idx="29">
                  <c:v>12-12-2025</c:v>
                </c:pt>
                <c:pt idx="30">
                  <c:v>15-12-2025</c:v>
                </c:pt>
                <c:pt idx="31">
                  <c:v>16-12-2025</c:v>
                </c:pt>
                <c:pt idx="32">
                  <c:v>17-12-2025</c:v>
                </c:pt>
                <c:pt idx="33">
                  <c:v>18-12-2025</c:v>
                </c:pt>
                <c:pt idx="34">
                  <c:v>19-12-2025</c:v>
                </c:pt>
                <c:pt idx="35">
                  <c:v>22-12-2025</c:v>
                </c:pt>
                <c:pt idx="36">
                  <c:v>23-12-2025</c:v>
                </c:pt>
                <c:pt idx="37">
                  <c:v>24-12-2025</c:v>
                </c:pt>
                <c:pt idx="38">
                  <c:v>29-12-2025</c:v>
                </c:pt>
                <c:pt idx="39">
                  <c:v>30-12-2025</c:v>
                </c:pt>
                <c:pt idx="40">
                  <c:v>31-12-2025</c:v>
                </c:pt>
                <c:pt idx="41">
                  <c:v>02-01-2026</c:v>
                </c:pt>
                <c:pt idx="42">
                  <c:v>05-01-2026</c:v>
                </c:pt>
                <c:pt idx="43">
                  <c:v>06-01-2026</c:v>
                </c:pt>
                <c:pt idx="44">
                  <c:v>07-01-2026</c:v>
                </c:pt>
                <c:pt idx="45">
                  <c:v>08-01-2026</c:v>
                </c:pt>
                <c:pt idx="46">
                  <c:v>09-01-2026</c:v>
                </c:pt>
                <c:pt idx="47">
                  <c:v>10-01-2026</c:v>
                </c:pt>
                <c:pt idx="48">
                  <c:v>12-01-2026</c:v>
                </c:pt>
                <c:pt idx="49">
                  <c:v>13-01-2026</c:v>
                </c:pt>
                <c:pt idx="50">
                  <c:v>14-01-2026</c:v>
                </c:pt>
                <c:pt idx="51">
                  <c:v>15-01-2026</c:v>
                </c:pt>
                <c:pt idx="52">
                  <c:v>19-01-2026</c:v>
                </c:pt>
                <c:pt idx="53">
                  <c:v>20-01-2026</c:v>
                </c:pt>
                <c:pt idx="54">
                  <c:v>21-01-2026</c:v>
                </c:pt>
                <c:pt idx="55">
                  <c:v>22-01-2026</c:v>
                </c:pt>
                <c:pt idx="56">
                  <c:v>23-01-2026</c:v>
                </c:pt>
                <c:pt idx="57">
                  <c:v>24-01-2026</c:v>
                </c:pt>
                <c:pt idx="58">
                  <c:v>26-01-2026</c:v>
                </c:pt>
                <c:pt idx="59">
                  <c:v>27-01-2026</c:v>
                </c:pt>
                <c:pt idx="60">
                  <c:v>28-01-2026</c:v>
                </c:pt>
              </c:strCache>
            </c:strRef>
          </c:cat>
          <c:val>
            <c:numRef>
              <c:f>Pivot_Table!$O$3:$O$64</c:f>
              <c:numCache>
                <c:formatCode>"₹"\ #,##0.00</c:formatCode>
                <c:ptCount val="61"/>
                <c:pt idx="0">
                  <c:v>892</c:v>
                </c:pt>
                <c:pt idx="1">
                  <c:v>1050</c:v>
                </c:pt>
                <c:pt idx="2">
                  <c:v>1000</c:v>
                </c:pt>
                <c:pt idx="3">
                  <c:v>678</c:v>
                </c:pt>
                <c:pt idx="4">
                  <c:v>2190</c:v>
                </c:pt>
                <c:pt idx="5">
                  <c:v>1260</c:v>
                </c:pt>
                <c:pt idx="6">
                  <c:v>862</c:v>
                </c:pt>
                <c:pt idx="7">
                  <c:v>905</c:v>
                </c:pt>
                <c:pt idx="8">
                  <c:v>2350</c:v>
                </c:pt>
                <c:pt idx="9">
                  <c:v>955</c:v>
                </c:pt>
                <c:pt idx="10">
                  <c:v>676</c:v>
                </c:pt>
                <c:pt idx="11">
                  <c:v>730</c:v>
                </c:pt>
                <c:pt idx="12">
                  <c:v>950</c:v>
                </c:pt>
                <c:pt idx="13">
                  <c:v>2581</c:v>
                </c:pt>
                <c:pt idx="14">
                  <c:v>1060</c:v>
                </c:pt>
                <c:pt idx="15">
                  <c:v>640</c:v>
                </c:pt>
                <c:pt idx="16">
                  <c:v>590</c:v>
                </c:pt>
                <c:pt idx="17">
                  <c:v>500</c:v>
                </c:pt>
                <c:pt idx="18">
                  <c:v>408</c:v>
                </c:pt>
                <c:pt idx="19">
                  <c:v>1540</c:v>
                </c:pt>
                <c:pt idx="20">
                  <c:v>654</c:v>
                </c:pt>
                <c:pt idx="21">
                  <c:v>1000</c:v>
                </c:pt>
                <c:pt idx="22">
                  <c:v>610</c:v>
                </c:pt>
                <c:pt idx="23">
                  <c:v>1900</c:v>
                </c:pt>
                <c:pt idx="24">
                  <c:v>720</c:v>
                </c:pt>
                <c:pt idx="25">
                  <c:v>940</c:v>
                </c:pt>
                <c:pt idx="26">
                  <c:v>762</c:v>
                </c:pt>
                <c:pt idx="27">
                  <c:v>880</c:v>
                </c:pt>
                <c:pt idx="28">
                  <c:v>1815</c:v>
                </c:pt>
                <c:pt idx="29">
                  <c:v>740</c:v>
                </c:pt>
                <c:pt idx="30">
                  <c:v>1030</c:v>
                </c:pt>
                <c:pt idx="31">
                  <c:v>760</c:v>
                </c:pt>
                <c:pt idx="32">
                  <c:v>632</c:v>
                </c:pt>
                <c:pt idx="33">
                  <c:v>1300</c:v>
                </c:pt>
                <c:pt idx="34">
                  <c:v>755</c:v>
                </c:pt>
                <c:pt idx="35">
                  <c:v>776</c:v>
                </c:pt>
                <c:pt idx="36">
                  <c:v>980</c:v>
                </c:pt>
                <c:pt idx="37">
                  <c:v>240</c:v>
                </c:pt>
                <c:pt idx="38">
                  <c:v>940</c:v>
                </c:pt>
                <c:pt idx="39">
                  <c:v>648</c:v>
                </c:pt>
                <c:pt idx="40">
                  <c:v>930</c:v>
                </c:pt>
                <c:pt idx="41">
                  <c:v>965</c:v>
                </c:pt>
                <c:pt idx="42">
                  <c:v>870</c:v>
                </c:pt>
                <c:pt idx="43">
                  <c:v>820</c:v>
                </c:pt>
                <c:pt idx="44">
                  <c:v>1530</c:v>
                </c:pt>
                <c:pt idx="45">
                  <c:v>485</c:v>
                </c:pt>
                <c:pt idx="46">
                  <c:v>600</c:v>
                </c:pt>
                <c:pt idx="47">
                  <c:v>670</c:v>
                </c:pt>
                <c:pt idx="48">
                  <c:v>950</c:v>
                </c:pt>
                <c:pt idx="49">
                  <c:v>672</c:v>
                </c:pt>
                <c:pt idx="50">
                  <c:v>690</c:v>
                </c:pt>
                <c:pt idx="51">
                  <c:v>390</c:v>
                </c:pt>
                <c:pt idx="52">
                  <c:v>460</c:v>
                </c:pt>
                <c:pt idx="53">
                  <c:v>322</c:v>
                </c:pt>
                <c:pt idx="54">
                  <c:v>310</c:v>
                </c:pt>
                <c:pt idx="55">
                  <c:v>650</c:v>
                </c:pt>
                <c:pt idx="56">
                  <c:v>180</c:v>
                </c:pt>
                <c:pt idx="57">
                  <c:v>75</c:v>
                </c:pt>
                <c:pt idx="58">
                  <c:v>50</c:v>
                </c:pt>
                <c:pt idx="59">
                  <c:v>120</c:v>
                </c:pt>
                <c:pt idx="60">
                  <c:v>260</c:v>
                </c:pt>
              </c:numCache>
            </c:numRef>
          </c:val>
          <c:smooth val="0"/>
          <c:extLst>
            <c:ext xmlns:c16="http://schemas.microsoft.com/office/drawing/2014/chart" uri="{C3380CC4-5D6E-409C-BE32-E72D297353CC}">
              <c16:uniqueId val="{00000000-E29E-4558-B9E7-53400409FB4D}"/>
            </c:ext>
          </c:extLst>
        </c:ser>
        <c:dLbls>
          <c:showLegendKey val="0"/>
          <c:showVal val="0"/>
          <c:showCatName val="0"/>
          <c:showSerName val="0"/>
          <c:showPercent val="0"/>
          <c:showBubbleSize val="0"/>
        </c:dLbls>
        <c:smooth val="0"/>
        <c:axId val="1575519503"/>
        <c:axId val="1575520463"/>
      </c:lineChart>
      <c:catAx>
        <c:axId val="1575519503"/>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Date</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520463"/>
        <c:crosses val="autoZero"/>
        <c:auto val="1"/>
        <c:lblAlgn val="ctr"/>
        <c:lblOffset val="100"/>
        <c:noMultiLvlLbl val="0"/>
      </c:catAx>
      <c:valAx>
        <c:axId val="1575520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Daily</a:t>
                </a:r>
                <a:r>
                  <a:rPr lang="en-IN" b="1" baseline="0">
                    <a:solidFill>
                      <a:sysClr val="windowText" lastClr="000000"/>
                    </a:solidFill>
                  </a:rPr>
                  <a:t> Revenue</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51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Meal Subscription Analytics Project.xlsx]Pivot_Table!PivotTable8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Quarterly</a:t>
            </a:r>
            <a:r>
              <a:rPr lang="en-IN" b="1" baseline="0">
                <a:solidFill>
                  <a:sysClr val="windowText" lastClr="000000"/>
                </a:solidFill>
              </a:rPr>
              <a:t> Revenue by Meal Time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Pivot_Table!$I$49:$I$50</c:f>
              <c:strCache>
                <c:ptCount val="1"/>
                <c:pt idx="0">
                  <c:v>Jan</c:v>
                </c:pt>
              </c:strCache>
            </c:strRef>
          </c:tx>
          <c:spPr>
            <a:solidFill>
              <a:schemeClr val="accent2"/>
            </a:solidFill>
            <a:ln w="19050">
              <a:solidFill>
                <a:schemeClr val="tx1"/>
              </a:solidFill>
            </a:ln>
            <a:effectLst/>
          </c:spPr>
          <c:invertIfNegative val="0"/>
          <c:cat>
            <c:strRef>
              <c:f>Pivot_Table!$H$51:$H$54</c:f>
              <c:strCache>
                <c:ptCount val="3"/>
                <c:pt idx="0">
                  <c:v>Afternoon</c:v>
                </c:pt>
                <c:pt idx="1">
                  <c:v>Morning</c:v>
                </c:pt>
                <c:pt idx="2">
                  <c:v>Night</c:v>
                </c:pt>
              </c:strCache>
            </c:strRef>
          </c:cat>
          <c:val>
            <c:numRef>
              <c:f>Pivot_Table!$I$51:$I$54</c:f>
              <c:numCache>
                <c:formatCode>General</c:formatCode>
                <c:ptCount val="3"/>
                <c:pt idx="0">
                  <c:v>7220</c:v>
                </c:pt>
                <c:pt idx="1">
                  <c:v>2749</c:v>
                </c:pt>
                <c:pt idx="2">
                  <c:v>1100</c:v>
                </c:pt>
              </c:numCache>
            </c:numRef>
          </c:val>
          <c:extLst>
            <c:ext xmlns:c16="http://schemas.microsoft.com/office/drawing/2014/chart" uri="{C3380CC4-5D6E-409C-BE32-E72D297353CC}">
              <c16:uniqueId val="{00000000-B592-467A-A7DB-70DAB4AB9FCF}"/>
            </c:ext>
          </c:extLst>
        </c:ser>
        <c:ser>
          <c:idx val="1"/>
          <c:order val="1"/>
          <c:tx>
            <c:strRef>
              <c:f>Pivot_Table!$J$49:$J$50</c:f>
              <c:strCache>
                <c:ptCount val="1"/>
                <c:pt idx="0">
                  <c:v>Nov</c:v>
                </c:pt>
              </c:strCache>
            </c:strRef>
          </c:tx>
          <c:spPr>
            <a:solidFill>
              <a:schemeClr val="accent4"/>
            </a:solidFill>
            <a:ln w="19050">
              <a:solidFill>
                <a:sysClr val="windowText" lastClr="000000"/>
              </a:solidFill>
            </a:ln>
            <a:effectLst/>
          </c:spPr>
          <c:invertIfNegative val="0"/>
          <c:cat>
            <c:strRef>
              <c:f>Pivot_Table!$H$51:$H$54</c:f>
              <c:strCache>
                <c:ptCount val="3"/>
                <c:pt idx="0">
                  <c:v>Afternoon</c:v>
                </c:pt>
                <c:pt idx="1">
                  <c:v>Morning</c:v>
                </c:pt>
                <c:pt idx="2">
                  <c:v>Night</c:v>
                </c:pt>
              </c:strCache>
            </c:strRef>
          </c:cat>
          <c:val>
            <c:numRef>
              <c:f>Pivot_Table!$J$51:$J$54</c:f>
              <c:numCache>
                <c:formatCode>General</c:formatCode>
                <c:ptCount val="3"/>
                <c:pt idx="0">
                  <c:v>12895</c:v>
                </c:pt>
                <c:pt idx="1">
                  <c:v>5047</c:v>
                </c:pt>
                <c:pt idx="2">
                  <c:v>3875</c:v>
                </c:pt>
              </c:numCache>
            </c:numRef>
          </c:val>
          <c:extLst>
            <c:ext xmlns:c16="http://schemas.microsoft.com/office/drawing/2014/chart" uri="{C3380CC4-5D6E-409C-BE32-E72D297353CC}">
              <c16:uniqueId val="{00000001-B592-467A-A7DB-70DAB4AB9FCF}"/>
            </c:ext>
          </c:extLst>
        </c:ser>
        <c:ser>
          <c:idx val="2"/>
          <c:order val="2"/>
          <c:tx>
            <c:strRef>
              <c:f>Pivot_Table!$K$49:$K$50</c:f>
              <c:strCache>
                <c:ptCount val="1"/>
                <c:pt idx="0">
                  <c:v>Dec</c:v>
                </c:pt>
              </c:strCache>
            </c:strRef>
          </c:tx>
          <c:spPr>
            <a:solidFill>
              <a:schemeClr val="accent6"/>
            </a:solidFill>
            <a:ln w="19050">
              <a:solidFill>
                <a:sysClr val="windowText" lastClr="000000"/>
              </a:solidFill>
            </a:ln>
            <a:effectLst/>
          </c:spPr>
          <c:invertIfNegative val="0"/>
          <c:cat>
            <c:strRef>
              <c:f>Pivot_Table!$H$51:$H$54</c:f>
              <c:strCache>
                <c:ptCount val="3"/>
                <c:pt idx="0">
                  <c:v>Afternoon</c:v>
                </c:pt>
                <c:pt idx="1">
                  <c:v>Morning</c:v>
                </c:pt>
                <c:pt idx="2">
                  <c:v>Night</c:v>
                </c:pt>
              </c:strCache>
            </c:strRef>
          </c:cat>
          <c:val>
            <c:numRef>
              <c:f>Pivot_Table!$K$51:$K$54</c:f>
              <c:numCache>
                <c:formatCode>General</c:formatCode>
                <c:ptCount val="3"/>
                <c:pt idx="0">
                  <c:v>11575</c:v>
                </c:pt>
                <c:pt idx="1">
                  <c:v>4558</c:v>
                </c:pt>
                <c:pt idx="2">
                  <c:v>2879</c:v>
                </c:pt>
              </c:numCache>
            </c:numRef>
          </c:val>
          <c:extLst>
            <c:ext xmlns:c16="http://schemas.microsoft.com/office/drawing/2014/chart" uri="{C3380CC4-5D6E-409C-BE32-E72D297353CC}">
              <c16:uniqueId val="{00000002-B592-467A-A7DB-70DAB4AB9FCF}"/>
            </c:ext>
          </c:extLst>
        </c:ser>
        <c:dLbls>
          <c:showLegendKey val="0"/>
          <c:showVal val="0"/>
          <c:showCatName val="0"/>
          <c:showSerName val="0"/>
          <c:showPercent val="0"/>
          <c:showBubbleSize val="0"/>
        </c:dLbls>
        <c:gapWidth val="219"/>
        <c:overlap val="-27"/>
        <c:axId val="1575510383"/>
        <c:axId val="1575527183"/>
      </c:barChart>
      <c:catAx>
        <c:axId val="1575510383"/>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Time</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527183"/>
        <c:crosses val="autoZero"/>
        <c:auto val="1"/>
        <c:lblAlgn val="ctr"/>
        <c:lblOffset val="100"/>
        <c:noMultiLvlLbl val="0"/>
      </c:catAx>
      <c:valAx>
        <c:axId val="157552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Total</a:t>
                </a:r>
                <a:r>
                  <a:rPr lang="en-IN" b="1" baseline="0">
                    <a:solidFill>
                      <a:sysClr val="windowText" lastClr="000000"/>
                    </a:solidFill>
                  </a:rPr>
                  <a:t> Revenue</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51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Meal Subscription Analytics Project.xlsx]Pivot_Table!PivotTable9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10 Items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w="1905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Pivot_Table!$C$63</c:f>
              <c:strCache>
                <c:ptCount val="1"/>
                <c:pt idx="0">
                  <c:v>Total</c:v>
                </c:pt>
              </c:strCache>
            </c:strRef>
          </c:tx>
          <c:spPr>
            <a:solidFill>
              <a:srgbClr val="00B0F0"/>
            </a:solidFill>
            <a:ln w="19050">
              <a:solidFill>
                <a:schemeClr val="tx1">
                  <a:lumMod val="95000"/>
                  <a:lumOff val="5000"/>
                </a:schemeClr>
              </a:solidFill>
            </a:ln>
            <a:effectLst/>
          </c:spPr>
          <c:invertIfNegative val="0"/>
          <c:cat>
            <c:strRef>
              <c:f>Pivot_Table!$B$64:$B$74</c:f>
              <c:strCache>
                <c:ptCount val="10"/>
                <c:pt idx="0">
                  <c:v>Chicken Meals</c:v>
                </c:pt>
                <c:pt idx="1">
                  <c:v>Veg Meals</c:v>
                </c:pt>
                <c:pt idx="2">
                  <c:v>Chapati</c:v>
                </c:pt>
                <c:pt idx="3">
                  <c:v>Dosa</c:v>
                </c:pt>
                <c:pt idx="4">
                  <c:v>Egg Dosa</c:v>
                </c:pt>
                <c:pt idx="5">
                  <c:v>Variety Rice</c:v>
                </c:pt>
                <c:pt idx="6">
                  <c:v>Idli</c:v>
                </c:pt>
                <c:pt idx="7">
                  <c:v>Veg Biryani</c:v>
                </c:pt>
                <c:pt idx="8">
                  <c:v>Sambar Rice</c:v>
                </c:pt>
                <c:pt idx="9">
                  <c:v>Plain Dosa</c:v>
                </c:pt>
              </c:strCache>
            </c:strRef>
          </c:cat>
          <c:val>
            <c:numRef>
              <c:f>Pivot_Table!$C$64:$C$74</c:f>
              <c:numCache>
                <c:formatCode>"₹"\ #,##0</c:formatCode>
                <c:ptCount val="10"/>
                <c:pt idx="0">
                  <c:v>11450</c:v>
                </c:pt>
                <c:pt idx="1">
                  <c:v>6660</c:v>
                </c:pt>
                <c:pt idx="2">
                  <c:v>5480</c:v>
                </c:pt>
                <c:pt idx="3">
                  <c:v>3340</c:v>
                </c:pt>
                <c:pt idx="4">
                  <c:v>2985</c:v>
                </c:pt>
                <c:pt idx="5">
                  <c:v>2360</c:v>
                </c:pt>
                <c:pt idx="6">
                  <c:v>2168</c:v>
                </c:pt>
                <c:pt idx="7">
                  <c:v>1380</c:v>
                </c:pt>
                <c:pt idx="8">
                  <c:v>1300</c:v>
                </c:pt>
                <c:pt idx="9">
                  <c:v>1260</c:v>
                </c:pt>
              </c:numCache>
            </c:numRef>
          </c:val>
          <c:extLst>
            <c:ext xmlns:c16="http://schemas.microsoft.com/office/drawing/2014/chart" uri="{C3380CC4-5D6E-409C-BE32-E72D297353CC}">
              <c16:uniqueId val="{00000000-9153-44CC-81ED-4B6E1095AC5F}"/>
            </c:ext>
          </c:extLst>
        </c:ser>
        <c:dLbls>
          <c:showLegendKey val="0"/>
          <c:showVal val="0"/>
          <c:showCatName val="0"/>
          <c:showSerName val="0"/>
          <c:showPercent val="0"/>
          <c:showBubbleSize val="0"/>
        </c:dLbls>
        <c:gapWidth val="219"/>
        <c:overlap val="-27"/>
        <c:axId val="2139051488"/>
        <c:axId val="88245328"/>
      </c:barChart>
      <c:catAx>
        <c:axId val="2139051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Items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5328"/>
        <c:crosses val="autoZero"/>
        <c:auto val="1"/>
        <c:lblAlgn val="ctr"/>
        <c:lblOffset val="100"/>
        <c:noMultiLvlLbl val="0"/>
      </c:catAx>
      <c:valAx>
        <c:axId val="88245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Total</a:t>
                </a:r>
                <a:r>
                  <a:rPr lang="en-IN" b="1" baseline="0">
                    <a:solidFill>
                      <a:sysClr val="windowText" lastClr="000000"/>
                    </a:solidFill>
                  </a:rPr>
                  <a:t> Revenue</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051488"/>
        <c:crosses val="autoZero"/>
        <c:crossBetween val="between"/>
      </c:valAx>
      <c:spPr>
        <a:noFill/>
        <a:ln w="190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302978432043824E-2"/>
          <c:y val="3.8095238095238099E-2"/>
          <c:w val="0.92247755987023361"/>
          <c:h val="0.69524354910181685"/>
        </c:manualLayout>
      </c:layout>
      <c:lineChart>
        <c:grouping val="standard"/>
        <c:varyColors val="0"/>
        <c:ser>
          <c:idx val="0"/>
          <c:order val="0"/>
          <c:tx>
            <c:strRef>
              <c:f>Sheet1!$B$1</c:f>
              <c:strCache>
                <c:ptCount val="1"/>
                <c:pt idx="0">
                  <c:v>Total Revenue</c:v>
                </c:pt>
              </c:strCache>
            </c:strRef>
          </c:tx>
          <c:spPr>
            <a:ln w="28575" cap="rnd">
              <a:solidFill>
                <a:schemeClr val="accent1"/>
              </a:solidFill>
              <a:round/>
            </a:ln>
            <a:effectLst/>
          </c:spPr>
          <c:marker>
            <c:symbol val="none"/>
          </c:marker>
          <c:val>
            <c:numRef>
              <c:f>Sheet1!$B$2:$B$146</c:f>
              <c:numCache>
                <c:formatCode>General</c:formatCode>
                <c:ptCount val="145"/>
                <c:pt idx="0">
                  <c:v>892</c:v>
                </c:pt>
                <c:pt idx="1">
                  <c:v>1050</c:v>
                </c:pt>
                <c:pt idx="2">
                  <c:v>1000</c:v>
                </c:pt>
                <c:pt idx="3">
                  <c:v>678</c:v>
                </c:pt>
                <c:pt idx="4">
                  <c:v>2190</c:v>
                </c:pt>
                <c:pt idx="5">
                  <c:v>1880</c:v>
                </c:pt>
                <c:pt idx="6">
                  <c:v>1570</c:v>
                </c:pt>
                <c:pt idx="7">
                  <c:v>1260</c:v>
                </c:pt>
                <c:pt idx="8">
                  <c:v>862</c:v>
                </c:pt>
                <c:pt idx="9">
                  <c:v>905</c:v>
                </c:pt>
                <c:pt idx="10">
                  <c:v>2350</c:v>
                </c:pt>
                <c:pt idx="11">
                  <c:v>955</c:v>
                </c:pt>
                <c:pt idx="12">
                  <c:v>862</c:v>
                </c:pt>
                <c:pt idx="13">
                  <c:v>769</c:v>
                </c:pt>
                <c:pt idx="14">
                  <c:v>676</c:v>
                </c:pt>
                <c:pt idx="15">
                  <c:v>730</c:v>
                </c:pt>
                <c:pt idx="16">
                  <c:v>950</c:v>
                </c:pt>
                <c:pt idx="17">
                  <c:v>2581</c:v>
                </c:pt>
                <c:pt idx="18">
                  <c:v>1060</c:v>
                </c:pt>
                <c:pt idx="19">
                  <c:v>920</c:v>
                </c:pt>
                <c:pt idx="20">
                  <c:v>780</c:v>
                </c:pt>
                <c:pt idx="21">
                  <c:v>640</c:v>
                </c:pt>
                <c:pt idx="22">
                  <c:v>590</c:v>
                </c:pt>
                <c:pt idx="23">
                  <c:v>500</c:v>
                </c:pt>
                <c:pt idx="24">
                  <c:v>408</c:v>
                </c:pt>
                <c:pt idx="25">
                  <c:v>1540</c:v>
                </c:pt>
                <c:pt idx="26">
                  <c:v>1244.6666666666667</c:v>
                </c:pt>
                <c:pt idx="27">
                  <c:v>949.33333333333337</c:v>
                </c:pt>
                <c:pt idx="28">
                  <c:v>654</c:v>
                </c:pt>
                <c:pt idx="29">
                  <c:v>1000</c:v>
                </c:pt>
                <c:pt idx="30">
                  <c:v>610</c:v>
                </c:pt>
                <c:pt idx="31">
                  <c:v>1900</c:v>
                </c:pt>
                <c:pt idx="32">
                  <c:v>720</c:v>
                </c:pt>
                <c:pt idx="33">
                  <c:v>793.33333333333337</c:v>
                </c:pt>
                <c:pt idx="34">
                  <c:v>866.66666666666663</c:v>
                </c:pt>
                <c:pt idx="35">
                  <c:v>940</c:v>
                </c:pt>
                <c:pt idx="36">
                  <c:v>762</c:v>
                </c:pt>
                <c:pt idx="37">
                  <c:v>880</c:v>
                </c:pt>
                <c:pt idx="38">
                  <c:v>1815</c:v>
                </c:pt>
                <c:pt idx="39">
                  <c:v>740</c:v>
                </c:pt>
                <c:pt idx="40">
                  <c:v>836.66666666666663</c:v>
                </c:pt>
                <c:pt idx="41">
                  <c:v>933.33333333333337</c:v>
                </c:pt>
                <c:pt idx="42">
                  <c:v>1030</c:v>
                </c:pt>
                <c:pt idx="43">
                  <c:v>760</c:v>
                </c:pt>
                <c:pt idx="44">
                  <c:v>632</c:v>
                </c:pt>
                <c:pt idx="45">
                  <c:v>1300</c:v>
                </c:pt>
                <c:pt idx="46">
                  <c:v>755</c:v>
                </c:pt>
                <c:pt idx="47">
                  <c:v>762</c:v>
                </c:pt>
                <c:pt idx="48">
                  <c:v>769</c:v>
                </c:pt>
                <c:pt idx="49">
                  <c:v>776</c:v>
                </c:pt>
                <c:pt idx="50">
                  <c:v>980</c:v>
                </c:pt>
                <c:pt idx="51">
                  <c:v>240</c:v>
                </c:pt>
                <c:pt idx="52">
                  <c:v>380</c:v>
                </c:pt>
                <c:pt idx="53">
                  <c:v>520</c:v>
                </c:pt>
                <c:pt idx="54">
                  <c:v>660</c:v>
                </c:pt>
                <c:pt idx="55">
                  <c:v>800</c:v>
                </c:pt>
                <c:pt idx="56">
                  <c:v>940</c:v>
                </c:pt>
                <c:pt idx="57">
                  <c:v>648</c:v>
                </c:pt>
                <c:pt idx="58">
                  <c:v>930</c:v>
                </c:pt>
                <c:pt idx="59">
                  <c:v>947.5</c:v>
                </c:pt>
                <c:pt idx="60">
                  <c:v>965</c:v>
                </c:pt>
                <c:pt idx="61">
                  <c:v>933.33333333333337</c:v>
                </c:pt>
                <c:pt idx="62">
                  <c:v>901.66666666666663</c:v>
                </c:pt>
                <c:pt idx="63">
                  <c:v>870</c:v>
                </c:pt>
                <c:pt idx="64">
                  <c:v>820</c:v>
                </c:pt>
                <c:pt idx="65">
                  <c:v>1530</c:v>
                </c:pt>
                <c:pt idx="66">
                  <c:v>485</c:v>
                </c:pt>
                <c:pt idx="67">
                  <c:v>600</c:v>
                </c:pt>
                <c:pt idx="68">
                  <c:v>670</c:v>
                </c:pt>
                <c:pt idx="69">
                  <c:v>810</c:v>
                </c:pt>
                <c:pt idx="70">
                  <c:v>950</c:v>
                </c:pt>
                <c:pt idx="71">
                  <c:v>672</c:v>
                </c:pt>
                <c:pt idx="72">
                  <c:v>690</c:v>
                </c:pt>
                <c:pt idx="73">
                  <c:v>390</c:v>
                </c:pt>
                <c:pt idx="74">
                  <c:v>407.5</c:v>
                </c:pt>
                <c:pt idx="75">
                  <c:v>425</c:v>
                </c:pt>
                <c:pt idx="76">
                  <c:v>442.5</c:v>
                </c:pt>
                <c:pt idx="77">
                  <c:v>460</c:v>
                </c:pt>
                <c:pt idx="78">
                  <c:v>322</c:v>
                </c:pt>
                <c:pt idx="79">
                  <c:v>310</c:v>
                </c:pt>
                <c:pt idx="80">
                  <c:v>650</c:v>
                </c:pt>
                <c:pt idx="81">
                  <c:v>180</c:v>
                </c:pt>
                <c:pt idx="82">
                  <c:v>75</c:v>
                </c:pt>
                <c:pt idx="83">
                  <c:v>62.5</c:v>
                </c:pt>
                <c:pt idx="84">
                  <c:v>50</c:v>
                </c:pt>
                <c:pt idx="85">
                  <c:v>120</c:v>
                </c:pt>
                <c:pt idx="86">
                  <c:v>260</c:v>
                </c:pt>
              </c:numCache>
            </c:numRef>
          </c:val>
          <c:smooth val="0"/>
          <c:extLst>
            <c:ext xmlns:c16="http://schemas.microsoft.com/office/drawing/2014/chart" uri="{C3380CC4-5D6E-409C-BE32-E72D297353CC}">
              <c16:uniqueId val="{00000000-7DBD-429F-BBD9-16FA9778F279}"/>
            </c:ext>
          </c:extLst>
        </c:ser>
        <c:ser>
          <c:idx val="1"/>
          <c:order val="1"/>
          <c:tx>
            <c:strRef>
              <c:f>Sheet1!$C$1</c:f>
              <c:strCache>
                <c:ptCount val="1"/>
                <c:pt idx="0">
                  <c:v>Forecast(Total Revenue)</c:v>
                </c:pt>
              </c:strCache>
            </c:strRef>
          </c:tx>
          <c:spPr>
            <a:ln w="28575" cap="rnd">
              <a:solidFill>
                <a:schemeClr val="accent2"/>
              </a:solidFill>
              <a:round/>
            </a:ln>
            <a:effectLst/>
          </c:spPr>
          <c:marker>
            <c:symbol val="none"/>
          </c:marker>
          <c:cat>
            <c:numRef>
              <c:f>Sheet1!$A$2:$A$146</c:f>
              <c:numCache>
                <c:formatCode>m/d/yyyy</c:formatCode>
                <c:ptCount val="145"/>
                <c:pt idx="0">
                  <c:v>45964</c:v>
                </c:pt>
                <c:pt idx="1">
                  <c:v>45965</c:v>
                </c:pt>
                <c:pt idx="2">
                  <c:v>45966</c:v>
                </c:pt>
                <c:pt idx="3">
                  <c:v>45967</c:v>
                </c:pt>
                <c:pt idx="4">
                  <c:v>45968</c:v>
                </c:pt>
                <c:pt idx="5">
                  <c:v>45969</c:v>
                </c:pt>
                <c:pt idx="6">
                  <c:v>45970</c:v>
                </c:pt>
                <c:pt idx="7">
                  <c:v>45971</c:v>
                </c:pt>
                <c:pt idx="8">
                  <c:v>45972</c:v>
                </c:pt>
                <c:pt idx="9">
                  <c:v>45973</c:v>
                </c:pt>
                <c:pt idx="10">
                  <c:v>45974</c:v>
                </c:pt>
                <c:pt idx="11">
                  <c:v>45975</c:v>
                </c:pt>
                <c:pt idx="12">
                  <c:v>45976</c:v>
                </c:pt>
                <c:pt idx="13">
                  <c:v>45977</c:v>
                </c:pt>
                <c:pt idx="14">
                  <c:v>45978</c:v>
                </c:pt>
                <c:pt idx="15">
                  <c:v>45979</c:v>
                </c:pt>
                <c:pt idx="16">
                  <c:v>45980</c:v>
                </c:pt>
                <c:pt idx="17">
                  <c:v>45981</c:v>
                </c:pt>
                <c:pt idx="18">
                  <c:v>45982</c:v>
                </c:pt>
                <c:pt idx="19">
                  <c:v>45983</c:v>
                </c:pt>
                <c:pt idx="20">
                  <c:v>45984</c:v>
                </c:pt>
                <c:pt idx="21">
                  <c:v>45985</c:v>
                </c:pt>
                <c:pt idx="22">
                  <c:v>45986</c:v>
                </c:pt>
                <c:pt idx="23">
                  <c:v>45987</c:v>
                </c:pt>
                <c:pt idx="24">
                  <c:v>45988</c:v>
                </c:pt>
                <c:pt idx="25">
                  <c:v>45989</c:v>
                </c:pt>
                <c:pt idx="26">
                  <c:v>45990</c:v>
                </c:pt>
                <c:pt idx="27">
                  <c:v>45991</c:v>
                </c:pt>
                <c:pt idx="28">
                  <c:v>45992</c:v>
                </c:pt>
                <c:pt idx="29">
                  <c:v>45993</c:v>
                </c:pt>
                <c:pt idx="30">
                  <c:v>45994</c:v>
                </c:pt>
                <c:pt idx="31">
                  <c:v>45995</c:v>
                </c:pt>
                <c:pt idx="32">
                  <c:v>45996</c:v>
                </c:pt>
                <c:pt idx="33">
                  <c:v>45997</c:v>
                </c:pt>
                <c:pt idx="34">
                  <c:v>45998</c:v>
                </c:pt>
                <c:pt idx="35">
                  <c:v>45999</c:v>
                </c:pt>
                <c:pt idx="36">
                  <c:v>46000</c:v>
                </c:pt>
                <c:pt idx="37">
                  <c:v>46001</c:v>
                </c:pt>
                <c:pt idx="38">
                  <c:v>46002</c:v>
                </c:pt>
                <c:pt idx="39">
                  <c:v>46003</c:v>
                </c:pt>
                <c:pt idx="40">
                  <c:v>46004</c:v>
                </c:pt>
                <c:pt idx="41">
                  <c:v>46005</c:v>
                </c:pt>
                <c:pt idx="42">
                  <c:v>46006</c:v>
                </c:pt>
                <c:pt idx="43">
                  <c:v>46007</c:v>
                </c:pt>
                <c:pt idx="44">
                  <c:v>46008</c:v>
                </c:pt>
                <c:pt idx="45">
                  <c:v>46009</c:v>
                </c:pt>
                <c:pt idx="46">
                  <c:v>46010</c:v>
                </c:pt>
                <c:pt idx="47">
                  <c:v>46011</c:v>
                </c:pt>
                <c:pt idx="48">
                  <c:v>46012</c:v>
                </c:pt>
                <c:pt idx="49">
                  <c:v>46013</c:v>
                </c:pt>
                <c:pt idx="50">
                  <c:v>46014</c:v>
                </c:pt>
                <c:pt idx="51">
                  <c:v>46015</c:v>
                </c:pt>
                <c:pt idx="52">
                  <c:v>46016</c:v>
                </c:pt>
                <c:pt idx="53">
                  <c:v>46017</c:v>
                </c:pt>
                <c:pt idx="54">
                  <c:v>46018</c:v>
                </c:pt>
                <c:pt idx="55">
                  <c:v>46019</c:v>
                </c:pt>
                <c:pt idx="56">
                  <c:v>46020</c:v>
                </c:pt>
                <c:pt idx="57">
                  <c:v>46021</c:v>
                </c:pt>
                <c:pt idx="58">
                  <c:v>46022</c:v>
                </c:pt>
                <c:pt idx="59">
                  <c:v>46023</c:v>
                </c:pt>
                <c:pt idx="60">
                  <c:v>46024</c:v>
                </c:pt>
                <c:pt idx="61">
                  <c:v>46025</c:v>
                </c:pt>
                <c:pt idx="62">
                  <c:v>46026</c:v>
                </c:pt>
                <c:pt idx="63">
                  <c:v>46027</c:v>
                </c:pt>
                <c:pt idx="64">
                  <c:v>46028</c:v>
                </c:pt>
                <c:pt idx="65">
                  <c:v>46029</c:v>
                </c:pt>
                <c:pt idx="66">
                  <c:v>46030</c:v>
                </c:pt>
                <c:pt idx="67">
                  <c:v>46031</c:v>
                </c:pt>
                <c:pt idx="68">
                  <c:v>46032</c:v>
                </c:pt>
                <c:pt idx="69">
                  <c:v>46033</c:v>
                </c:pt>
                <c:pt idx="70">
                  <c:v>46034</c:v>
                </c:pt>
                <c:pt idx="71">
                  <c:v>46035</c:v>
                </c:pt>
                <c:pt idx="72">
                  <c:v>46036</c:v>
                </c:pt>
                <c:pt idx="73">
                  <c:v>46037</c:v>
                </c:pt>
                <c:pt idx="74">
                  <c:v>46038</c:v>
                </c:pt>
                <c:pt idx="75">
                  <c:v>46039</c:v>
                </c:pt>
                <c:pt idx="76">
                  <c:v>46040</c:v>
                </c:pt>
                <c:pt idx="77">
                  <c:v>46041</c:v>
                </c:pt>
                <c:pt idx="78">
                  <c:v>46042</c:v>
                </c:pt>
                <c:pt idx="79">
                  <c:v>46043</c:v>
                </c:pt>
                <c:pt idx="80">
                  <c:v>46044</c:v>
                </c:pt>
                <c:pt idx="81">
                  <c:v>46045</c:v>
                </c:pt>
                <c:pt idx="82">
                  <c:v>46046</c:v>
                </c:pt>
                <c:pt idx="83">
                  <c:v>46047</c:v>
                </c:pt>
                <c:pt idx="84">
                  <c:v>46048</c:v>
                </c:pt>
                <c:pt idx="85">
                  <c:v>46049</c:v>
                </c:pt>
                <c:pt idx="86">
                  <c:v>46050</c:v>
                </c:pt>
                <c:pt idx="87">
                  <c:v>46051</c:v>
                </c:pt>
                <c:pt idx="88">
                  <c:v>46052</c:v>
                </c:pt>
                <c:pt idx="89">
                  <c:v>46053</c:v>
                </c:pt>
                <c:pt idx="90">
                  <c:v>46054</c:v>
                </c:pt>
                <c:pt idx="91">
                  <c:v>46055</c:v>
                </c:pt>
                <c:pt idx="92">
                  <c:v>46056</c:v>
                </c:pt>
                <c:pt idx="93">
                  <c:v>46057</c:v>
                </c:pt>
                <c:pt idx="94">
                  <c:v>46058</c:v>
                </c:pt>
                <c:pt idx="95">
                  <c:v>46059</c:v>
                </c:pt>
                <c:pt idx="96">
                  <c:v>46060</c:v>
                </c:pt>
                <c:pt idx="97">
                  <c:v>46061</c:v>
                </c:pt>
                <c:pt idx="98">
                  <c:v>46062</c:v>
                </c:pt>
                <c:pt idx="99">
                  <c:v>46063</c:v>
                </c:pt>
                <c:pt idx="100">
                  <c:v>46064</c:v>
                </c:pt>
                <c:pt idx="101">
                  <c:v>46065</c:v>
                </c:pt>
                <c:pt idx="102">
                  <c:v>46066</c:v>
                </c:pt>
                <c:pt idx="103">
                  <c:v>46067</c:v>
                </c:pt>
                <c:pt idx="104">
                  <c:v>46068</c:v>
                </c:pt>
                <c:pt idx="105">
                  <c:v>46069</c:v>
                </c:pt>
                <c:pt idx="106">
                  <c:v>46070</c:v>
                </c:pt>
                <c:pt idx="107">
                  <c:v>46071</c:v>
                </c:pt>
                <c:pt idx="108">
                  <c:v>46072</c:v>
                </c:pt>
                <c:pt idx="109">
                  <c:v>46073</c:v>
                </c:pt>
                <c:pt idx="110">
                  <c:v>46074</c:v>
                </c:pt>
                <c:pt idx="111">
                  <c:v>46075</c:v>
                </c:pt>
                <c:pt idx="112">
                  <c:v>46076</c:v>
                </c:pt>
                <c:pt idx="113">
                  <c:v>46077</c:v>
                </c:pt>
                <c:pt idx="114">
                  <c:v>46078</c:v>
                </c:pt>
                <c:pt idx="115">
                  <c:v>46079</c:v>
                </c:pt>
                <c:pt idx="116">
                  <c:v>46080</c:v>
                </c:pt>
                <c:pt idx="117">
                  <c:v>46081</c:v>
                </c:pt>
                <c:pt idx="118">
                  <c:v>46082</c:v>
                </c:pt>
                <c:pt idx="119">
                  <c:v>46083</c:v>
                </c:pt>
                <c:pt idx="120">
                  <c:v>46084</c:v>
                </c:pt>
                <c:pt idx="121">
                  <c:v>46085</c:v>
                </c:pt>
                <c:pt idx="122">
                  <c:v>46086</c:v>
                </c:pt>
                <c:pt idx="123">
                  <c:v>46087</c:v>
                </c:pt>
                <c:pt idx="124">
                  <c:v>46088</c:v>
                </c:pt>
                <c:pt idx="125">
                  <c:v>46089</c:v>
                </c:pt>
                <c:pt idx="126">
                  <c:v>46090</c:v>
                </c:pt>
                <c:pt idx="127">
                  <c:v>46091</c:v>
                </c:pt>
                <c:pt idx="128">
                  <c:v>46092</c:v>
                </c:pt>
                <c:pt idx="129">
                  <c:v>46093</c:v>
                </c:pt>
                <c:pt idx="130">
                  <c:v>46094</c:v>
                </c:pt>
                <c:pt idx="131">
                  <c:v>46095</c:v>
                </c:pt>
                <c:pt idx="132">
                  <c:v>46096</c:v>
                </c:pt>
                <c:pt idx="133">
                  <c:v>46097</c:v>
                </c:pt>
                <c:pt idx="134">
                  <c:v>46098</c:v>
                </c:pt>
                <c:pt idx="135">
                  <c:v>46099</c:v>
                </c:pt>
                <c:pt idx="136">
                  <c:v>46100</c:v>
                </c:pt>
                <c:pt idx="137">
                  <c:v>46101</c:v>
                </c:pt>
                <c:pt idx="138">
                  <c:v>46102</c:v>
                </c:pt>
                <c:pt idx="139">
                  <c:v>46103</c:v>
                </c:pt>
                <c:pt idx="140">
                  <c:v>46104</c:v>
                </c:pt>
                <c:pt idx="141">
                  <c:v>46105</c:v>
                </c:pt>
                <c:pt idx="142">
                  <c:v>46106</c:v>
                </c:pt>
                <c:pt idx="143">
                  <c:v>46107</c:v>
                </c:pt>
                <c:pt idx="144">
                  <c:v>46108</c:v>
                </c:pt>
              </c:numCache>
            </c:numRef>
          </c:cat>
          <c:val>
            <c:numRef>
              <c:f>Sheet1!$C$2:$C$146</c:f>
              <c:numCache>
                <c:formatCode>General</c:formatCode>
                <c:ptCount val="145"/>
                <c:pt idx="86">
                  <c:v>260</c:v>
                </c:pt>
                <c:pt idx="87">
                  <c:v>303.13277902046582</c:v>
                </c:pt>
                <c:pt idx="88">
                  <c:v>82.299324934242492</c:v>
                </c:pt>
                <c:pt idx="89">
                  <c:v>837.99264018298163</c:v>
                </c:pt>
                <c:pt idx="90">
                  <c:v>132.86628677051613</c:v>
                </c:pt>
                <c:pt idx="91">
                  <c:v>354.1704724822514</c:v>
                </c:pt>
                <c:pt idx="92">
                  <c:v>315.14776134942667</c:v>
                </c:pt>
                <c:pt idx="93">
                  <c:v>281.9931947259077</c:v>
                </c:pt>
                <c:pt idx="94">
                  <c:v>295.70571582225028</c:v>
                </c:pt>
                <c:pt idx="95">
                  <c:v>-13.581539638068648</c:v>
                </c:pt>
                <c:pt idx="96">
                  <c:v>621.05443279810856</c:v>
                </c:pt>
                <c:pt idx="97">
                  <c:v>281.25122117935427</c:v>
                </c:pt>
                <c:pt idx="98">
                  <c:v>155.74134909412933</c:v>
                </c:pt>
                <c:pt idx="99">
                  <c:v>226.34398087112413</c:v>
                </c:pt>
                <c:pt idx="100">
                  <c:v>86.134257962214562</c:v>
                </c:pt>
                <c:pt idx="101">
                  <c:v>-55.611538776558518</c:v>
                </c:pt>
                <c:pt idx="102">
                  <c:v>-179.3881313976425</c:v>
                </c:pt>
                <c:pt idx="103">
                  <c:v>178.03040538361381</c:v>
                </c:pt>
                <c:pt idx="104">
                  <c:v>565.41107886783766</c:v>
                </c:pt>
                <c:pt idx="105">
                  <c:v>112.33049636294292</c:v>
                </c:pt>
                <c:pt idx="106">
                  <c:v>61.328976646616724</c:v>
                </c:pt>
                <c:pt idx="107">
                  <c:v>-33.234377668358277</c:v>
                </c:pt>
                <c:pt idx="108">
                  <c:v>-14.89242791869448</c:v>
                </c:pt>
                <c:pt idx="109">
                  <c:v>-248.57697836338579</c:v>
                </c:pt>
                <c:pt idx="110">
                  <c:v>-382.76667219308069</c:v>
                </c:pt>
                <c:pt idx="111">
                  <c:v>-389.93379040054288</c:v>
                </c:pt>
                <c:pt idx="112">
                  <c:v>62.795958634832786</c:v>
                </c:pt>
                <c:pt idx="113">
                  <c:v>63.374188855815746</c:v>
                </c:pt>
                <c:pt idx="114">
                  <c:v>63.822975619851789</c:v>
                </c:pt>
                <c:pt idx="115">
                  <c:v>-174.5139665480184</c:v>
                </c:pt>
                <c:pt idx="116">
                  <c:v>46.523116818182231</c:v>
                </c:pt>
                <c:pt idx="117">
                  <c:v>-174.31033726804108</c:v>
                </c:pt>
                <c:pt idx="118">
                  <c:v>581.38297798069812</c:v>
                </c:pt>
                <c:pt idx="119">
                  <c:v>-123.74337543176746</c:v>
                </c:pt>
                <c:pt idx="120">
                  <c:v>97.560810279967825</c:v>
                </c:pt>
                <c:pt idx="121">
                  <c:v>58.538099147143114</c:v>
                </c:pt>
                <c:pt idx="122">
                  <c:v>25.383532523624169</c:v>
                </c:pt>
                <c:pt idx="123">
                  <c:v>39.096053619966696</c:v>
                </c:pt>
                <c:pt idx="124">
                  <c:v>-270.19120184035228</c:v>
                </c:pt>
                <c:pt idx="125">
                  <c:v>364.44477059582493</c:v>
                </c:pt>
                <c:pt idx="126">
                  <c:v>24.641558977070716</c:v>
                </c:pt>
                <c:pt idx="127">
                  <c:v>-100.86831310815425</c:v>
                </c:pt>
                <c:pt idx="128">
                  <c:v>-30.265681331159456</c:v>
                </c:pt>
                <c:pt idx="129">
                  <c:v>-170.475404240069</c:v>
                </c:pt>
                <c:pt idx="130">
                  <c:v>-312.22120097884215</c:v>
                </c:pt>
                <c:pt idx="131">
                  <c:v>-435.99779359992607</c:v>
                </c:pt>
                <c:pt idx="132">
                  <c:v>-78.579256818669776</c:v>
                </c:pt>
                <c:pt idx="133">
                  <c:v>308.80141666555409</c:v>
                </c:pt>
                <c:pt idx="134">
                  <c:v>-144.27916583934066</c:v>
                </c:pt>
                <c:pt idx="135">
                  <c:v>-195.28068555566688</c:v>
                </c:pt>
                <c:pt idx="136">
                  <c:v>-289.84403987064184</c:v>
                </c:pt>
                <c:pt idx="137">
                  <c:v>-271.50209012097804</c:v>
                </c:pt>
                <c:pt idx="138">
                  <c:v>-505.18664056566934</c:v>
                </c:pt>
                <c:pt idx="139">
                  <c:v>-639.37633439536421</c:v>
                </c:pt>
                <c:pt idx="140">
                  <c:v>-646.54345260282639</c:v>
                </c:pt>
                <c:pt idx="141">
                  <c:v>-193.81370356745077</c:v>
                </c:pt>
                <c:pt idx="142">
                  <c:v>-193.23547334646781</c:v>
                </c:pt>
                <c:pt idx="143">
                  <c:v>-192.7866865824318</c:v>
                </c:pt>
                <c:pt idx="144">
                  <c:v>-431.12362875030198</c:v>
                </c:pt>
              </c:numCache>
            </c:numRef>
          </c:val>
          <c:smooth val="0"/>
          <c:extLst>
            <c:ext xmlns:c16="http://schemas.microsoft.com/office/drawing/2014/chart" uri="{C3380CC4-5D6E-409C-BE32-E72D297353CC}">
              <c16:uniqueId val="{00000001-7DBD-429F-BBD9-16FA9778F279}"/>
            </c:ext>
          </c:extLst>
        </c:ser>
        <c:ser>
          <c:idx val="2"/>
          <c:order val="2"/>
          <c:tx>
            <c:strRef>
              <c:f>Sheet1!$D$1</c:f>
              <c:strCache>
                <c:ptCount val="1"/>
                <c:pt idx="0">
                  <c:v>Lower Confidence Bound(Total Revenue)</c:v>
                </c:pt>
              </c:strCache>
            </c:strRef>
          </c:tx>
          <c:spPr>
            <a:ln w="28575" cap="rnd">
              <a:solidFill>
                <a:schemeClr val="accent3"/>
              </a:solidFill>
              <a:round/>
            </a:ln>
            <a:effectLst/>
          </c:spPr>
          <c:marker>
            <c:symbol val="none"/>
          </c:marker>
          <c:cat>
            <c:numRef>
              <c:f>Sheet1!$A$2:$A$146</c:f>
              <c:numCache>
                <c:formatCode>m/d/yyyy</c:formatCode>
                <c:ptCount val="145"/>
                <c:pt idx="0">
                  <c:v>45964</c:v>
                </c:pt>
                <c:pt idx="1">
                  <c:v>45965</c:v>
                </c:pt>
                <c:pt idx="2">
                  <c:v>45966</c:v>
                </c:pt>
                <c:pt idx="3">
                  <c:v>45967</c:v>
                </c:pt>
                <c:pt idx="4">
                  <c:v>45968</c:v>
                </c:pt>
                <c:pt idx="5">
                  <c:v>45969</c:v>
                </c:pt>
                <c:pt idx="6">
                  <c:v>45970</c:v>
                </c:pt>
                <c:pt idx="7">
                  <c:v>45971</c:v>
                </c:pt>
                <c:pt idx="8">
                  <c:v>45972</c:v>
                </c:pt>
                <c:pt idx="9">
                  <c:v>45973</c:v>
                </c:pt>
                <c:pt idx="10">
                  <c:v>45974</c:v>
                </c:pt>
                <c:pt idx="11">
                  <c:v>45975</c:v>
                </c:pt>
                <c:pt idx="12">
                  <c:v>45976</c:v>
                </c:pt>
                <c:pt idx="13">
                  <c:v>45977</c:v>
                </c:pt>
                <c:pt idx="14">
                  <c:v>45978</c:v>
                </c:pt>
                <c:pt idx="15">
                  <c:v>45979</c:v>
                </c:pt>
                <c:pt idx="16">
                  <c:v>45980</c:v>
                </c:pt>
                <c:pt idx="17">
                  <c:v>45981</c:v>
                </c:pt>
                <c:pt idx="18">
                  <c:v>45982</c:v>
                </c:pt>
                <c:pt idx="19">
                  <c:v>45983</c:v>
                </c:pt>
                <c:pt idx="20">
                  <c:v>45984</c:v>
                </c:pt>
                <c:pt idx="21">
                  <c:v>45985</c:v>
                </c:pt>
                <c:pt idx="22">
                  <c:v>45986</c:v>
                </c:pt>
                <c:pt idx="23">
                  <c:v>45987</c:v>
                </c:pt>
                <c:pt idx="24">
                  <c:v>45988</c:v>
                </c:pt>
                <c:pt idx="25">
                  <c:v>45989</c:v>
                </c:pt>
                <c:pt idx="26">
                  <c:v>45990</c:v>
                </c:pt>
                <c:pt idx="27">
                  <c:v>45991</c:v>
                </c:pt>
                <c:pt idx="28">
                  <c:v>45992</c:v>
                </c:pt>
                <c:pt idx="29">
                  <c:v>45993</c:v>
                </c:pt>
                <c:pt idx="30">
                  <c:v>45994</c:v>
                </c:pt>
                <c:pt idx="31">
                  <c:v>45995</c:v>
                </c:pt>
                <c:pt idx="32">
                  <c:v>45996</c:v>
                </c:pt>
                <c:pt idx="33">
                  <c:v>45997</c:v>
                </c:pt>
                <c:pt idx="34">
                  <c:v>45998</c:v>
                </c:pt>
                <c:pt idx="35">
                  <c:v>45999</c:v>
                </c:pt>
                <c:pt idx="36">
                  <c:v>46000</c:v>
                </c:pt>
                <c:pt idx="37">
                  <c:v>46001</c:v>
                </c:pt>
                <c:pt idx="38">
                  <c:v>46002</c:v>
                </c:pt>
                <c:pt idx="39">
                  <c:v>46003</c:v>
                </c:pt>
                <c:pt idx="40">
                  <c:v>46004</c:v>
                </c:pt>
                <c:pt idx="41">
                  <c:v>46005</c:v>
                </c:pt>
                <c:pt idx="42">
                  <c:v>46006</c:v>
                </c:pt>
                <c:pt idx="43">
                  <c:v>46007</c:v>
                </c:pt>
                <c:pt idx="44">
                  <c:v>46008</c:v>
                </c:pt>
                <c:pt idx="45">
                  <c:v>46009</c:v>
                </c:pt>
                <c:pt idx="46">
                  <c:v>46010</c:v>
                </c:pt>
                <c:pt idx="47">
                  <c:v>46011</c:v>
                </c:pt>
                <c:pt idx="48">
                  <c:v>46012</c:v>
                </c:pt>
                <c:pt idx="49">
                  <c:v>46013</c:v>
                </c:pt>
                <c:pt idx="50">
                  <c:v>46014</c:v>
                </c:pt>
                <c:pt idx="51">
                  <c:v>46015</c:v>
                </c:pt>
                <c:pt idx="52">
                  <c:v>46016</c:v>
                </c:pt>
                <c:pt idx="53">
                  <c:v>46017</c:v>
                </c:pt>
                <c:pt idx="54">
                  <c:v>46018</c:v>
                </c:pt>
                <c:pt idx="55">
                  <c:v>46019</c:v>
                </c:pt>
                <c:pt idx="56">
                  <c:v>46020</c:v>
                </c:pt>
                <c:pt idx="57">
                  <c:v>46021</c:v>
                </c:pt>
                <c:pt idx="58">
                  <c:v>46022</c:v>
                </c:pt>
                <c:pt idx="59">
                  <c:v>46023</c:v>
                </c:pt>
                <c:pt idx="60">
                  <c:v>46024</c:v>
                </c:pt>
                <c:pt idx="61">
                  <c:v>46025</c:v>
                </c:pt>
                <c:pt idx="62">
                  <c:v>46026</c:v>
                </c:pt>
                <c:pt idx="63">
                  <c:v>46027</c:v>
                </c:pt>
                <c:pt idx="64">
                  <c:v>46028</c:v>
                </c:pt>
                <c:pt idx="65">
                  <c:v>46029</c:v>
                </c:pt>
                <c:pt idx="66">
                  <c:v>46030</c:v>
                </c:pt>
                <c:pt idx="67">
                  <c:v>46031</c:v>
                </c:pt>
                <c:pt idx="68">
                  <c:v>46032</c:v>
                </c:pt>
                <c:pt idx="69">
                  <c:v>46033</c:v>
                </c:pt>
                <c:pt idx="70">
                  <c:v>46034</c:v>
                </c:pt>
                <c:pt idx="71">
                  <c:v>46035</c:v>
                </c:pt>
                <c:pt idx="72">
                  <c:v>46036</c:v>
                </c:pt>
                <c:pt idx="73">
                  <c:v>46037</c:v>
                </c:pt>
                <c:pt idx="74">
                  <c:v>46038</c:v>
                </c:pt>
                <c:pt idx="75">
                  <c:v>46039</c:v>
                </c:pt>
                <c:pt idx="76">
                  <c:v>46040</c:v>
                </c:pt>
                <c:pt idx="77">
                  <c:v>46041</c:v>
                </c:pt>
                <c:pt idx="78">
                  <c:v>46042</c:v>
                </c:pt>
                <c:pt idx="79">
                  <c:v>46043</c:v>
                </c:pt>
                <c:pt idx="80">
                  <c:v>46044</c:v>
                </c:pt>
                <c:pt idx="81">
                  <c:v>46045</c:v>
                </c:pt>
                <c:pt idx="82">
                  <c:v>46046</c:v>
                </c:pt>
                <c:pt idx="83">
                  <c:v>46047</c:v>
                </c:pt>
                <c:pt idx="84">
                  <c:v>46048</c:v>
                </c:pt>
                <c:pt idx="85">
                  <c:v>46049</c:v>
                </c:pt>
                <c:pt idx="86">
                  <c:v>46050</c:v>
                </c:pt>
                <c:pt idx="87">
                  <c:v>46051</c:v>
                </c:pt>
                <c:pt idx="88">
                  <c:v>46052</c:v>
                </c:pt>
                <c:pt idx="89">
                  <c:v>46053</c:v>
                </c:pt>
                <c:pt idx="90">
                  <c:v>46054</c:v>
                </c:pt>
                <c:pt idx="91">
                  <c:v>46055</c:v>
                </c:pt>
                <c:pt idx="92">
                  <c:v>46056</c:v>
                </c:pt>
                <c:pt idx="93">
                  <c:v>46057</c:v>
                </c:pt>
                <c:pt idx="94">
                  <c:v>46058</c:v>
                </c:pt>
                <c:pt idx="95">
                  <c:v>46059</c:v>
                </c:pt>
                <c:pt idx="96">
                  <c:v>46060</c:v>
                </c:pt>
                <c:pt idx="97">
                  <c:v>46061</c:v>
                </c:pt>
                <c:pt idx="98">
                  <c:v>46062</c:v>
                </c:pt>
                <c:pt idx="99">
                  <c:v>46063</c:v>
                </c:pt>
                <c:pt idx="100">
                  <c:v>46064</c:v>
                </c:pt>
                <c:pt idx="101">
                  <c:v>46065</c:v>
                </c:pt>
                <c:pt idx="102">
                  <c:v>46066</c:v>
                </c:pt>
                <c:pt idx="103">
                  <c:v>46067</c:v>
                </c:pt>
                <c:pt idx="104">
                  <c:v>46068</c:v>
                </c:pt>
                <c:pt idx="105">
                  <c:v>46069</c:v>
                </c:pt>
                <c:pt idx="106">
                  <c:v>46070</c:v>
                </c:pt>
                <c:pt idx="107">
                  <c:v>46071</c:v>
                </c:pt>
                <c:pt idx="108">
                  <c:v>46072</c:v>
                </c:pt>
                <c:pt idx="109">
                  <c:v>46073</c:v>
                </c:pt>
                <c:pt idx="110">
                  <c:v>46074</c:v>
                </c:pt>
                <c:pt idx="111">
                  <c:v>46075</c:v>
                </c:pt>
                <c:pt idx="112">
                  <c:v>46076</c:v>
                </c:pt>
                <c:pt idx="113">
                  <c:v>46077</c:v>
                </c:pt>
                <c:pt idx="114">
                  <c:v>46078</c:v>
                </c:pt>
                <c:pt idx="115">
                  <c:v>46079</c:v>
                </c:pt>
                <c:pt idx="116">
                  <c:v>46080</c:v>
                </c:pt>
                <c:pt idx="117">
                  <c:v>46081</c:v>
                </c:pt>
                <c:pt idx="118">
                  <c:v>46082</c:v>
                </c:pt>
                <c:pt idx="119">
                  <c:v>46083</c:v>
                </c:pt>
                <c:pt idx="120">
                  <c:v>46084</c:v>
                </c:pt>
                <c:pt idx="121">
                  <c:v>46085</c:v>
                </c:pt>
                <c:pt idx="122">
                  <c:v>46086</c:v>
                </c:pt>
                <c:pt idx="123">
                  <c:v>46087</c:v>
                </c:pt>
                <c:pt idx="124">
                  <c:v>46088</c:v>
                </c:pt>
                <c:pt idx="125">
                  <c:v>46089</c:v>
                </c:pt>
                <c:pt idx="126">
                  <c:v>46090</c:v>
                </c:pt>
                <c:pt idx="127">
                  <c:v>46091</c:v>
                </c:pt>
                <c:pt idx="128">
                  <c:v>46092</c:v>
                </c:pt>
                <c:pt idx="129">
                  <c:v>46093</c:v>
                </c:pt>
                <c:pt idx="130">
                  <c:v>46094</c:v>
                </c:pt>
                <c:pt idx="131">
                  <c:v>46095</c:v>
                </c:pt>
                <c:pt idx="132">
                  <c:v>46096</c:v>
                </c:pt>
                <c:pt idx="133">
                  <c:v>46097</c:v>
                </c:pt>
                <c:pt idx="134">
                  <c:v>46098</c:v>
                </c:pt>
                <c:pt idx="135">
                  <c:v>46099</c:v>
                </c:pt>
                <c:pt idx="136">
                  <c:v>46100</c:v>
                </c:pt>
                <c:pt idx="137">
                  <c:v>46101</c:v>
                </c:pt>
                <c:pt idx="138">
                  <c:v>46102</c:v>
                </c:pt>
                <c:pt idx="139">
                  <c:v>46103</c:v>
                </c:pt>
                <c:pt idx="140">
                  <c:v>46104</c:v>
                </c:pt>
                <c:pt idx="141">
                  <c:v>46105</c:v>
                </c:pt>
                <c:pt idx="142">
                  <c:v>46106</c:v>
                </c:pt>
                <c:pt idx="143">
                  <c:v>46107</c:v>
                </c:pt>
                <c:pt idx="144">
                  <c:v>46108</c:v>
                </c:pt>
              </c:numCache>
            </c:numRef>
          </c:cat>
          <c:val>
            <c:numRef>
              <c:f>Sheet1!$D$2:$D$146</c:f>
              <c:numCache>
                <c:formatCode>General</c:formatCode>
                <c:ptCount val="145"/>
                <c:pt idx="86" formatCode="0.00">
                  <c:v>260</c:v>
                </c:pt>
                <c:pt idx="87" formatCode="0.00">
                  <c:v>-601.93905813954268</c:v>
                </c:pt>
                <c:pt idx="88" formatCode="0.00">
                  <c:v>-851.06804725743473</c:v>
                </c:pt>
                <c:pt idx="89" formatCode="0.00">
                  <c:v>-123.0525959085162</c:v>
                </c:pt>
                <c:pt idx="90" formatCode="0.00">
                  <c:v>-855.29187453603913</c:v>
                </c:pt>
                <c:pt idx="91" formatCode="0.00">
                  <c:v>-660.58176703724098</c:v>
                </c:pt>
                <c:pt idx="92" formatCode="0.00">
                  <c:v>-725.72026663656288</c:v>
                </c:pt>
                <c:pt idx="93" formatCode="0.00">
                  <c:v>-784.54823545281079</c:v>
                </c:pt>
                <c:pt idx="94" formatCode="0.00">
                  <c:v>-796.09868869925367</c:v>
                </c:pt>
                <c:pt idx="95" formatCode="0.00">
                  <c:v>-1130.2670801230224</c:v>
                </c:pt>
                <c:pt idx="96" formatCode="0.00">
                  <c:v>-520.15609834177644</c:v>
                </c:pt>
                <c:pt idx="97" formatCode="0.00">
                  <c:v>-884.15134283525765</c:v>
                </c:pt>
                <c:pt idx="98" formatCode="0.00">
                  <c:v>-1033.5412977648903</c:v>
                </c:pt>
                <c:pt idx="99" formatCode="0.00">
                  <c:v>-986.52590020397702</c:v>
                </c:pt>
                <c:pt idx="100" formatCode="0.00">
                  <c:v>-1150.0474347590844</c:v>
                </c:pt>
                <c:pt idx="101" formatCode="0.00">
                  <c:v>-1314.8455676332098</c:v>
                </c:pt>
                <c:pt idx="102" formatCode="0.00">
                  <c:v>-1461.4296567637148</c:v>
                </c:pt>
                <c:pt idx="103" formatCode="0.00">
                  <c:v>-1126.5872457795881</c:v>
                </c:pt>
                <c:pt idx="104" formatCode="0.00">
                  <c:v>-761.56375383679574</c:v>
                </c:pt>
                <c:pt idx="105" formatCode="0.00">
                  <c:v>-1236.7940656355872</c:v>
                </c:pt>
                <c:pt idx="106" formatCode="0.00">
                  <c:v>-1309.7485140538026</c:v>
                </c:pt>
                <c:pt idx="107" formatCode="0.00">
                  <c:v>-1426.0778900897815</c:v>
                </c:pt>
                <c:pt idx="108" formatCode="0.00">
                  <c:v>-1429.3242629199626</c:v>
                </c:pt>
                <c:pt idx="109" formatCode="0.00">
                  <c:v>-1684.4280225623447</c:v>
                </c:pt>
                <c:pt idx="110" formatCode="0.00">
                  <c:v>-1839.8758322051463</c:v>
                </c:pt>
                <c:pt idx="111" formatCode="0.00">
                  <c:v>-1868.1474770394518</c:v>
                </c:pt>
                <c:pt idx="112" formatCode="0.00">
                  <c:v>-1436.3756983023852</c:v>
                </c:pt>
                <c:pt idx="113" formatCode="0.00">
                  <c:v>-1456.6154832449504</c:v>
                </c:pt>
                <c:pt idx="114" formatCode="0.00">
                  <c:v>-1476.8509615466041</c:v>
                </c:pt>
                <c:pt idx="115" formatCode="0.00">
                  <c:v>-1735.7442594218555</c:v>
                </c:pt>
                <c:pt idx="116" formatCode="0.00">
                  <c:v>-1586.737632551605</c:v>
                </c:pt>
                <c:pt idx="117" formatCode="0.00">
                  <c:v>-1827.2537651532691</c:v>
                </c:pt>
                <c:pt idx="118" formatCode="0.00">
                  <c:v>-1091.1493716102159</c:v>
                </c:pt>
                <c:pt idx="119" formatCode="0.00">
                  <c:v>-1815.7746303616007</c:v>
                </c:pt>
                <c:pt idx="120" formatCode="0.00">
                  <c:v>-1613.8828889964639</c:v>
                </c:pt>
                <c:pt idx="121" formatCode="0.00">
                  <c:v>-1672.2349660289005</c:v>
                </c:pt>
                <c:pt idx="122" formatCode="0.00">
                  <c:v>-1724.6390410471076</c:v>
                </c:pt>
                <c:pt idx="123" formatCode="0.00">
                  <c:v>-1730.0992404919662</c:v>
                </c:pt>
                <c:pt idx="124" formatCode="0.00">
                  <c:v>-2058.4853564891282</c:v>
                </c:pt>
                <c:pt idx="125" formatCode="0.00">
                  <c:v>-1442.8771793750998</c:v>
                </c:pt>
                <c:pt idx="126" formatCode="0.00">
                  <c:v>-1801.6397908989675</c:v>
                </c:pt>
                <c:pt idx="127" formatCode="0.00">
                  <c:v>-1946.043219732471</c:v>
                </c:pt>
                <c:pt idx="128" formatCode="0.00">
                  <c:v>-1894.2707431670447</c:v>
                </c:pt>
                <c:pt idx="129" formatCode="0.00">
                  <c:v>-2053.2495571209574</c:v>
                </c:pt>
                <c:pt idx="130" formatCode="0.00">
                  <c:v>-2213.7056197858292</c:v>
                </c:pt>
                <c:pt idx="131" formatCode="0.00">
                  <c:v>-2356.1357994443142</c:v>
                </c:pt>
                <c:pt idx="132" formatCode="0.00">
                  <c:v>-2017.3162293431428</c:v>
                </c:pt>
                <c:pt idx="133" formatCode="0.00">
                  <c:v>-1648.4818777789915</c:v>
                </c:pt>
                <c:pt idx="134" formatCode="0.00">
                  <c:v>-2120.0580345473568</c:v>
                </c:pt>
                <c:pt idx="135" formatCode="0.00">
                  <c:v>-2189.506203622198</c:v>
                </c:pt>
                <c:pt idx="136" formatCode="0.00">
                  <c:v>-2302.4690346586781</c:v>
                </c:pt>
                <c:pt idx="137" formatCode="0.00">
                  <c:v>-2302.4810743934991</c:v>
                </c:pt>
                <c:pt idx="138" formatCode="0.00">
                  <c:v>-2554.4757490008569</c:v>
                </c:pt>
                <c:pt idx="139" formatCode="0.00">
                  <c:v>-2706.9332632703426</c:v>
                </c:pt>
                <c:pt idx="140" formatCode="0.00">
                  <c:v>-2732.3274024476432</c:v>
                </c:pt>
                <c:pt idx="141" formatCode="0.00">
                  <c:v>-2297.7853246058821</c:v>
                </c:pt>
                <c:pt idx="142" formatCode="0.00">
                  <c:v>-2315.3568135538339</c:v>
                </c:pt>
                <c:pt idx="143" formatCode="0.00">
                  <c:v>-2333.0211422030261</c:v>
                </c:pt>
                <c:pt idx="144" formatCode="0.00">
                  <c:v>-2589.4358971283887</c:v>
                </c:pt>
              </c:numCache>
            </c:numRef>
          </c:val>
          <c:smooth val="0"/>
          <c:extLst>
            <c:ext xmlns:c16="http://schemas.microsoft.com/office/drawing/2014/chart" uri="{C3380CC4-5D6E-409C-BE32-E72D297353CC}">
              <c16:uniqueId val="{00000002-7DBD-429F-BBD9-16FA9778F279}"/>
            </c:ext>
          </c:extLst>
        </c:ser>
        <c:ser>
          <c:idx val="3"/>
          <c:order val="3"/>
          <c:tx>
            <c:strRef>
              <c:f>Sheet1!$E$1</c:f>
              <c:strCache>
                <c:ptCount val="1"/>
                <c:pt idx="0">
                  <c:v>Upper Confidence Bound(Total Revenue)</c:v>
                </c:pt>
              </c:strCache>
            </c:strRef>
          </c:tx>
          <c:spPr>
            <a:ln w="28575" cap="rnd">
              <a:solidFill>
                <a:schemeClr val="accent4"/>
              </a:solidFill>
              <a:round/>
            </a:ln>
            <a:effectLst/>
          </c:spPr>
          <c:marker>
            <c:symbol val="none"/>
          </c:marker>
          <c:cat>
            <c:numRef>
              <c:f>Sheet1!$A$2:$A$146</c:f>
              <c:numCache>
                <c:formatCode>m/d/yyyy</c:formatCode>
                <c:ptCount val="145"/>
                <c:pt idx="0">
                  <c:v>45964</c:v>
                </c:pt>
                <c:pt idx="1">
                  <c:v>45965</c:v>
                </c:pt>
                <c:pt idx="2">
                  <c:v>45966</c:v>
                </c:pt>
                <c:pt idx="3">
                  <c:v>45967</c:v>
                </c:pt>
                <c:pt idx="4">
                  <c:v>45968</c:v>
                </c:pt>
                <c:pt idx="5">
                  <c:v>45969</c:v>
                </c:pt>
                <c:pt idx="6">
                  <c:v>45970</c:v>
                </c:pt>
                <c:pt idx="7">
                  <c:v>45971</c:v>
                </c:pt>
                <c:pt idx="8">
                  <c:v>45972</c:v>
                </c:pt>
                <c:pt idx="9">
                  <c:v>45973</c:v>
                </c:pt>
                <c:pt idx="10">
                  <c:v>45974</c:v>
                </c:pt>
                <c:pt idx="11">
                  <c:v>45975</c:v>
                </c:pt>
                <c:pt idx="12">
                  <c:v>45976</c:v>
                </c:pt>
                <c:pt idx="13">
                  <c:v>45977</c:v>
                </c:pt>
                <c:pt idx="14">
                  <c:v>45978</c:v>
                </c:pt>
                <c:pt idx="15">
                  <c:v>45979</c:v>
                </c:pt>
                <c:pt idx="16">
                  <c:v>45980</c:v>
                </c:pt>
                <c:pt idx="17">
                  <c:v>45981</c:v>
                </c:pt>
                <c:pt idx="18">
                  <c:v>45982</c:v>
                </c:pt>
                <c:pt idx="19">
                  <c:v>45983</c:v>
                </c:pt>
                <c:pt idx="20">
                  <c:v>45984</c:v>
                </c:pt>
                <c:pt idx="21">
                  <c:v>45985</c:v>
                </c:pt>
                <c:pt idx="22">
                  <c:v>45986</c:v>
                </c:pt>
                <c:pt idx="23">
                  <c:v>45987</c:v>
                </c:pt>
                <c:pt idx="24">
                  <c:v>45988</c:v>
                </c:pt>
                <c:pt idx="25">
                  <c:v>45989</c:v>
                </c:pt>
                <c:pt idx="26">
                  <c:v>45990</c:v>
                </c:pt>
                <c:pt idx="27">
                  <c:v>45991</c:v>
                </c:pt>
                <c:pt idx="28">
                  <c:v>45992</c:v>
                </c:pt>
                <c:pt idx="29">
                  <c:v>45993</c:v>
                </c:pt>
                <c:pt idx="30">
                  <c:v>45994</c:v>
                </c:pt>
                <c:pt idx="31">
                  <c:v>45995</c:v>
                </c:pt>
                <c:pt idx="32">
                  <c:v>45996</c:v>
                </c:pt>
                <c:pt idx="33">
                  <c:v>45997</c:v>
                </c:pt>
                <c:pt idx="34">
                  <c:v>45998</c:v>
                </c:pt>
                <c:pt idx="35">
                  <c:v>45999</c:v>
                </c:pt>
                <c:pt idx="36">
                  <c:v>46000</c:v>
                </c:pt>
                <c:pt idx="37">
                  <c:v>46001</c:v>
                </c:pt>
                <c:pt idx="38">
                  <c:v>46002</c:v>
                </c:pt>
                <c:pt idx="39">
                  <c:v>46003</c:v>
                </c:pt>
                <c:pt idx="40">
                  <c:v>46004</c:v>
                </c:pt>
                <c:pt idx="41">
                  <c:v>46005</c:v>
                </c:pt>
                <c:pt idx="42">
                  <c:v>46006</c:v>
                </c:pt>
                <c:pt idx="43">
                  <c:v>46007</c:v>
                </c:pt>
                <c:pt idx="44">
                  <c:v>46008</c:v>
                </c:pt>
                <c:pt idx="45">
                  <c:v>46009</c:v>
                </c:pt>
                <c:pt idx="46">
                  <c:v>46010</c:v>
                </c:pt>
                <c:pt idx="47">
                  <c:v>46011</c:v>
                </c:pt>
                <c:pt idx="48">
                  <c:v>46012</c:v>
                </c:pt>
                <c:pt idx="49">
                  <c:v>46013</c:v>
                </c:pt>
                <c:pt idx="50">
                  <c:v>46014</c:v>
                </c:pt>
                <c:pt idx="51">
                  <c:v>46015</c:v>
                </c:pt>
                <c:pt idx="52">
                  <c:v>46016</c:v>
                </c:pt>
                <c:pt idx="53">
                  <c:v>46017</c:v>
                </c:pt>
                <c:pt idx="54">
                  <c:v>46018</c:v>
                </c:pt>
                <c:pt idx="55">
                  <c:v>46019</c:v>
                </c:pt>
                <c:pt idx="56">
                  <c:v>46020</c:v>
                </c:pt>
                <c:pt idx="57">
                  <c:v>46021</c:v>
                </c:pt>
                <c:pt idx="58">
                  <c:v>46022</c:v>
                </c:pt>
                <c:pt idx="59">
                  <c:v>46023</c:v>
                </c:pt>
                <c:pt idx="60">
                  <c:v>46024</c:v>
                </c:pt>
                <c:pt idx="61">
                  <c:v>46025</c:v>
                </c:pt>
                <c:pt idx="62">
                  <c:v>46026</c:v>
                </c:pt>
                <c:pt idx="63">
                  <c:v>46027</c:v>
                </c:pt>
                <c:pt idx="64">
                  <c:v>46028</c:v>
                </c:pt>
                <c:pt idx="65">
                  <c:v>46029</c:v>
                </c:pt>
                <c:pt idx="66">
                  <c:v>46030</c:v>
                </c:pt>
                <c:pt idx="67">
                  <c:v>46031</c:v>
                </c:pt>
                <c:pt idx="68">
                  <c:v>46032</c:v>
                </c:pt>
                <c:pt idx="69">
                  <c:v>46033</c:v>
                </c:pt>
                <c:pt idx="70">
                  <c:v>46034</c:v>
                </c:pt>
                <c:pt idx="71">
                  <c:v>46035</c:v>
                </c:pt>
                <c:pt idx="72">
                  <c:v>46036</c:v>
                </c:pt>
                <c:pt idx="73">
                  <c:v>46037</c:v>
                </c:pt>
                <c:pt idx="74">
                  <c:v>46038</c:v>
                </c:pt>
                <c:pt idx="75">
                  <c:v>46039</c:v>
                </c:pt>
                <c:pt idx="76">
                  <c:v>46040</c:v>
                </c:pt>
                <c:pt idx="77">
                  <c:v>46041</c:v>
                </c:pt>
                <c:pt idx="78">
                  <c:v>46042</c:v>
                </c:pt>
                <c:pt idx="79">
                  <c:v>46043</c:v>
                </c:pt>
                <c:pt idx="80">
                  <c:v>46044</c:v>
                </c:pt>
                <c:pt idx="81">
                  <c:v>46045</c:v>
                </c:pt>
                <c:pt idx="82">
                  <c:v>46046</c:v>
                </c:pt>
                <c:pt idx="83">
                  <c:v>46047</c:v>
                </c:pt>
                <c:pt idx="84">
                  <c:v>46048</c:v>
                </c:pt>
                <c:pt idx="85">
                  <c:v>46049</c:v>
                </c:pt>
                <c:pt idx="86">
                  <c:v>46050</c:v>
                </c:pt>
                <c:pt idx="87">
                  <c:v>46051</c:v>
                </c:pt>
                <c:pt idx="88">
                  <c:v>46052</c:v>
                </c:pt>
                <c:pt idx="89">
                  <c:v>46053</c:v>
                </c:pt>
                <c:pt idx="90">
                  <c:v>46054</c:v>
                </c:pt>
                <c:pt idx="91">
                  <c:v>46055</c:v>
                </c:pt>
                <c:pt idx="92">
                  <c:v>46056</c:v>
                </c:pt>
                <c:pt idx="93">
                  <c:v>46057</c:v>
                </c:pt>
                <c:pt idx="94">
                  <c:v>46058</c:v>
                </c:pt>
                <c:pt idx="95">
                  <c:v>46059</c:v>
                </c:pt>
                <c:pt idx="96">
                  <c:v>46060</c:v>
                </c:pt>
                <c:pt idx="97">
                  <c:v>46061</c:v>
                </c:pt>
                <c:pt idx="98">
                  <c:v>46062</c:v>
                </c:pt>
                <c:pt idx="99">
                  <c:v>46063</c:v>
                </c:pt>
                <c:pt idx="100">
                  <c:v>46064</c:v>
                </c:pt>
                <c:pt idx="101">
                  <c:v>46065</c:v>
                </c:pt>
                <c:pt idx="102">
                  <c:v>46066</c:v>
                </c:pt>
                <c:pt idx="103">
                  <c:v>46067</c:v>
                </c:pt>
                <c:pt idx="104">
                  <c:v>46068</c:v>
                </c:pt>
                <c:pt idx="105">
                  <c:v>46069</c:v>
                </c:pt>
                <c:pt idx="106">
                  <c:v>46070</c:v>
                </c:pt>
                <c:pt idx="107">
                  <c:v>46071</c:v>
                </c:pt>
                <c:pt idx="108">
                  <c:v>46072</c:v>
                </c:pt>
                <c:pt idx="109">
                  <c:v>46073</c:v>
                </c:pt>
                <c:pt idx="110">
                  <c:v>46074</c:v>
                </c:pt>
                <c:pt idx="111">
                  <c:v>46075</c:v>
                </c:pt>
                <c:pt idx="112">
                  <c:v>46076</c:v>
                </c:pt>
                <c:pt idx="113">
                  <c:v>46077</c:v>
                </c:pt>
                <c:pt idx="114">
                  <c:v>46078</c:v>
                </c:pt>
                <c:pt idx="115">
                  <c:v>46079</c:v>
                </c:pt>
                <c:pt idx="116">
                  <c:v>46080</c:v>
                </c:pt>
                <c:pt idx="117">
                  <c:v>46081</c:v>
                </c:pt>
                <c:pt idx="118">
                  <c:v>46082</c:v>
                </c:pt>
                <c:pt idx="119">
                  <c:v>46083</c:v>
                </c:pt>
                <c:pt idx="120">
                  <c:v>46084</c:v>
                </c:pt>
                <c:pt idx="121">
                  <c:v>46085</c:v>
                </c:pt>
                <c:pt idx="122">
                  <c:v>46086</c:v>
                </c:pt>
                <c:pt idx="123">
                  <c:v>46087</c:v>
                </c:pt>
                <c:pt idx="124">
                  <c:v>46088</c:v>
                </c:pt>
                <c:pt idx="125">
                  <c:v>46089</c:v>
                </c:pt>
                <c:pt idx="126">
                  <c:v>46090</c:v>
                </c:pt>
                <c:pt idx="127">
                  <c:v>46091</c:v>
                </c:pt>
                <c:pt idx="128">
                  <c:v>46092</c:v>
                </c:pt>
                <c:pt idx="129">
                  <c:v>46093</c:v>
                </c:pt>
                <c:pt idx="130">
                  <c:v>46094</c:v>
                </c:pt>
                <c:pt idx="131">
                  <c:v>46095</c:v>
                </c:pt>
                <c:pt idx="132">
                  <c:v>46096</c:v>
                </c:pt>
                <c:pt idx="133">
                  <c:v>46097</c:v>
                </c:pt>
                <c:pt idx="134">
                  <c:v>46098</c:v>
                </c:pt>
                <c:pt idx="135">
                  <c:v>46099</c:v>
                </c:pt>
                <c:pt idx="136">
                  <c:v>46100</c:v>
                </c:pt>
                <c:pt idx="137">
                  <c:v>46101</c:v>
                </c:pt>
                <c:pt idx="138">
                  <c:v>46102</c:v>
                </c:pt>
                <c:pt idx="139">
                  <c:v>46103</c:v>
                </c:pt>
                <c:pt idx="140">
                  <c:v>46104</c:v>
                </c:pt>
                <c:pt idx="141">
                  <c:v>46105</c:v>
                </c:pt>
                <c:pt idx="142">
                  <c:v>46106</c:v>
                </c:pt>
                <c:pt idx="143">
                  <c:v>46107</c:v>
                </c:pt>
                <c:pt idx="144">
                  <c:v>46108</c:v>
                </c:pt>
              </c:numCache>
            </c:numRef>
          </c:cat>
          <c:val>
            <c:numRef>
              <c:f>Sheet1!$E$2:$E$146</c:f>
              <c:numCache>
                <c:formatCode>General</c:formatCode>
                <c:ptCount val="145"/>
                <c:pt idx="86" formatCode="0.00">
                  <c:v>260</c:v>
                </c:pt>
                <c:pt idx="87" formatCode="0.00">
                  <c:v>1208.2046161804742</c:v>
                </c:pt>
                <c:pt idx="88" formatCode="0.00">
                  <c:v>1015.6666971259197</c:v>
                </c:pt>
                <c:pt idx="89" formatCode="0.00">
                  <c:v>1799.0378762744795</c:v>
                </c:pt>
                <c:pt idx="90" formatCode="0.00">
                  <c:v>1121.0244480770714</c:v>
                </c:pt>
                <c:pt idx="91" formatCode="0.00">
                  <c:v>1368.9227120017438</c:v>
                </c:pt>
                <c:pt idx="92" formatCode="0.00">
                  <c:v>1356.0157893354162</c:v>
                </c:pt>
                <c:pt idx="93" formatCode="0.00">
                  <c:v>1348.5346249046261</c:v>
                </c:pt>
                <c:pt idx="94" formatCode="0.00">
                  <c:v>1387.5101203437544</c:v>
                </c:pt>
                <c:pt idx="95" formatCode="0.00">
                  <c:v>1103.1040008468849</c:v>
                </c:pt>
                <c:pt idx="96" formatCode="0.00">
                  <c:v>1762.2649639379936</c:v>
                </c:pt>
                <c:pt idx="97" formatCode="0.00">
                  <c:v>1446.6537851939661</c:v>
                </c:pt>
                <c:pt idx="98" formatCode="0.00">
                  <c:v>1345.0239959531491</c:v>
                </c:pt>
                <c:pt idx="99" formatCode="0.00">
                  <c:v>1439.2138619462253</c:v>
                </c:pt>
                <c:pt idx="100" formatCode="0.00">
                  <c:v>1322.3159506835136</c:v>
                </c:pt>
                <c:pt idx="101" formatCode="0.00">
                  <c:v>1203.6224900800928</c:v>
                </c:pt>
                <c:pt idx="102" formatCode="0.00">
                  <c:v>1102.6533939684296</c:v>
                </c:pt>
                <c:pt idx="103" formatCode="0.00">
                  <c:v>1482.648056546816</c:v>
                </c:pt>
                <c:pt idx="104" formatCode="0.00">
                  <c:v>1892.3859115724711</c:v>
                </c:pt>
                <c:pt idx="105" formatCode="0.00">
                  <c:v>1461.4550583614732</c:v>
                </c:pt>
                <c:pt idx="106" formatCode="0.00">
                  <c:v>1432.4064673470359</c:v>
                </c:pt>
                <c:pt idx="107" formatCode="0.00">
                  <c:v>1359.6091347530648</c:v>
                </c:pt>
                <c:pt idx="108" formatCode="0.00">
                  <c:v>1399.5394070825737</c:v>
                </c:pt>
                <c:pt idx="109" formatCode="0.00">
                  <c:v>1187.2740658355733</c:v>
                </c:pt>
                <c:pt idx="110" formatCode="0.00">
                  <c:v>1074.3424878189849</c:v>
                </c:pt>
                <c:pt idx="111" formatCode="0.00">
                  <c:v>1088.2798962383661</c:v>
                </c:pt>
                <c:pt idx="112" formatCode="0.00">
                  <c:v>1561.9676155720506</c:v>
                </c:pt>
                <c:pt idx="113" formatCode="0.00">
                  <c:v>1583.3638609565817</c:v>
                </c:pt>
                <c:pt idx="114" formatCode="0.00">
                  <c:v>1604.4969127863078</c:v>
                </c:pt>
                <c:pt idx="115" formatCode="0.00">
                  <c:v>1386.7163263258185</c:v>
                </c:pt>
                <c:pt idx="116" formatCode="0.00">
                  <c:v>1679.7838661879694</c:v>
                </c:pt>
                <c:pt idx="117" formatCode="0.00">
                  <c:v>1478.6330906171868</c:v>
                </c:pt>
                <c:pt idx="118" formatCode="0.00">
                  <c:v>2253.9153275716121</c:v>
                </c:pt>
                <c:pt idx="119" formatCode="0.00">
                  <c:v>1568.2878794980659</c:v>
                </c:pt>
                <c:pt idx="120" formatCode="0.00">
                  <c:v>1809.0045095563996</c:v>
                </c:pt>
                <c:pt idx="121" formatCode="0.00">
                  <c:v>1789.3111643231869</c:v>
                </c:pt>
                <c:pt idx="122" formatCode="0.00">
                  <c:v>1775.4061060943559</c:v>
                </c:pt>
                <c:pt idx="123" formatCode="0.00">
                  <c:v>1808.2913477318994</c:v>
                </c:pt>
                <c:pt idx="124" formatCode="0.00">
                  <c:v>1518.1029528084237</c:v>
                </c:pt>
                <c:pt idx="125" formatCode="0.00">
                  <c:v>2171.7667205667499</c:v>
                </c:pt>
                <c:pt idx="126" formatCode="0.00">
                  <c:v>1850.9229088531088</c:v>
                </c:pt>
                <c:pt idx="127" formatCode="0.00">
                  <c:v>1744.3065935161624</c:v>
                </c:pt>
                <c:pt idx="128" formatCode="0.00">
                  <c:v>1833.7393805047259</c:v>
                </c:pt>
                <c:pt idx="129" formatCode="0.00">
                  <c:v>1712.2987486408192</c:v>
                </c:pt>
                <c:pt idx="130" formatCode="0.00">
                  <c:v>1589.2632178281451</c:v>
                </c:pt>
                <c:pt idx="131" formatCode="0.00">
                  <c:v>1484.140212244462</c:v>
                </c:pt>
                <c:pt idx="132" formatCode="0.00">
                  <c:v>1860.1577157058032</c:v>
                </c:pt>
                <c:pt idx="133" formatCode="0.00">
                  <c:v>2266.0847111100998</c:v>
                </c:pt>
                <c:pt idx="134" formatCode="0.00">
                  <c:v>1831.4997028686755</c:v>
                </c:pt>
                <c:pt idx="135" formatCode="0.00">
                  <c:v>1798.9448325108642</c:v>
                </c:pt>
                <c:pt idx="136" formatCode="0.00">
                  <c:v>1722.7809549173944</c:v>
                </c:pt>
                <c:pt idx="137" formatCode="0.00">
                  <c:v>1759.4768941515429</c:v>
                </c:pt>
                <c:pt idx="138" formatCode="0.00">
                  <c:v>1544.1024678695185</c:v>
                </c:pt>
                <c:pt idx="139" formatCode="0.00">
                  <c:v>1428.1805944796142</c:v>
                </c:pt>
                <c:pt idx="140" formatCode="0.00">
                  <c:v>1439.2404972419906</c:v>
                </c:pt>
                <c:pt idx="141" formatCode="0.00">
                  <c:v>1910.1579174709805</c:v>
                </c:pt>
                <c:pt idx="142" formatCode="0.00">
                  <c:v>1928.8858668608984</c:v>
                </c:pt>
                <c:pt idx="143" formatCode="0.00">
                  <c:v>1947.4477690381627</c:v>
                </c:pt>
                <c:pt idx="144" formatCode="0.00">
                  <c:v>1727.1886396277846</c:v>
                </c:pt>
              </c:numCache>
            </c:numRef>
          </c:val>
          <c:smooth val="0"/>
          <c:extLst>
            <c:ext xmlns:c16="http://schemas.microsoft.com/office/drawing/2014/chart" uri="{C3380CC4-5D6E-409C-BE32-E72D297353CC}">
              <c16:uniqueId val="{00000003-7DBD-429F-BBD9-16FA9778F279}"/>
            </c:ext>
          </c:extLst>
        </c:ser>
        <c:dLbls>
          <c:showLegendKey val="0"/>
          <c:showVal val="0"/>
          <c:showCatName val="0"/>
          <c:showSerName val="0"/>
          <c:showPercent val="0"/>
          <c:showBubbleSize val="0"/>
        </c:dLbls>
        <c:smooth val="0"/>
        <c:axId val="459212511"/>
        <c:axId val="459231231"/>
      </c:lineChart>
      <c:catAx>
        <c:axId val="45921251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231231"/>
        <c:crosses val="autoZero"/>
        <c:auto val="1"/>
        <c:lblAlgn val="ctr"/>
        <c:lblOffset val="100"/>
        <c:noMultiLvlLbl val="0"/>
      </c:catAx>
      <c:valAx>
        <c:axId val="459231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212511"/>
        <c:crosses val="autoZero"/>
        <c:crossBetween val="between"/>
      </c:valAx>
      <c:spPr>
        <a:noFill/>
        <a:ln w="19050">
          <a:solidFill>
            <a:schemeClr val="bg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20</xdr:col>
      <xdr:colOff>30480</xdr:colOff>
      <xdr:row>1</xdr:row>
      <xdr:rowOff>15241</xdr:rowOff>
    </xdr:from>
    <xdr:to>
      <xdr:col>23</xdr:col>
      <xdr:colOff>30480</xdr:colOff>
      <xdr:row>7</xdr:row>
      <xdr:rowOff>99061</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8FD0B7DE-B4DB-CF0B-C990-6FE92B44ECA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701260" y="20574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xdr:colOff>
      <xdr:row>11</xdr:row>
      <xdr:rowOff>22861</xdr:rowOff>
    </xdr:from>
    <xdr:to>
      <xdr:col>19</xdr:col>
      <xdr:colOff>7620</xdr:colOff>
      <xdr:row>17</xdr:row>
      <xdr:rowOff>129540</xdr:rowOff>
    </xdr:to>
    <mc:AlternateContent xmlns:mc="http://schemas.openxmlformats.org/markup-compatibility/2006" xmlns:a14="http://schemas.microsoft.com/office/drawing/2010/main">
      <mc:Choice Requires="a14">
        <xdr:graphicFrame macro="">
          <xdr:nvGraphicFramePr>
            <xdr:cNvPr id="3" name="Time">
              <a:extLst>
                <a:ext uri="{FF2B5EF4-FFF2-40B4-BE49-F238E27FC236}">
                  <a16:creationId xmlns:a16="http://schemas.microsoft.com/office/drawing/2014/main" id="{B915B8A2-36B0-BDBE-7696-BADE85CDAE86}"/>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15400020" y="2080261"/>
              <a:ext cx="182880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xdr:colOff>
      <xdr:row>1</xdr:row>
      <xdr:rowOff>15241</xdr:rowOff>
    </xdr:from>
    <xdr:to>
      <xdr:col>19</xdr:col>
      <xdr:colOff>15240</xdr:colOff>
      <xdr:row>9</xdr:row>
      <xdr:rowOff>7620</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4AFEA36E-AD1C-B0DF-2DB5-9ABC4212167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5407640" y="205741"/>
              <a:ext cx="18288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396240</xdr:colOff>
      <xdr:row>1</xdr:row>
      <xdr:rowOff>0</xdr:rowOff>
    </xdr:from>
    <xdr:to>
      <xdr:col>8</xdr:col>
      <xdr:colOff>548640</xdr:colOff>
      <xdr:row>16</xdr:row>
      <xdr:rowOff>0</xdr:rowOff>
    </xdr:to>
    <xdr:graphicFrame macro="">
      <xdr:nvGraphicFramePr>
        <xdr:cNvPr id="2" name="Chart 1">
          <a:extLst>
            <a:ext uri="{FF2B5EF4-FFF2-40B4-BE49-F238E27FC236}">
              <a16:creationId xmlns:a16="http://schemas.microsoft.com/office/drawing/2014/main" id="{313DBD53-C217-41FB-A579-4EF2726BE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396240</xdr:colOff>
      <xdr:row>1</xdr:row>
      <xdr:rowOff>15240</xdr:rowOff>
    </xdr:from>
    <xdr:to>
      <xdr:col>17</xdr:col>
      <xdr:colOff>548640</xdr:colOff>
      <xdr:row>16</xdr:row>
      <xdr:rowOff>15240</xdr:rowOff>
    </xdr:to>
    <xdr:graphicFrame macro="">
      <xdr:nvGraphicFramePr>
        <xdr:cNvPr id="3" name="Chart 2">
          <a:extLst>
            <a:ext uri="{FF2B5EF4-FFF2-40B4-BE49-F238E27FC236}">
              <a16:creationId xmlns:a16="http://schemas.microsoft.com/office/drawing/2014/main" id="{E23488D5-4D0C-43A2-8B1A-7F2B4F8DC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403860</xdr:colOff>
      <xdr:row>18</xdr:row>
      <xdr:rowOff>22860</xdr:rowOff>
    </xdr:from>
    <xdr:to>
      <xdr:col>8</xdr:col>
      <xdr:colOff>556260</xdr:colOff>
      <xdr:row>33</xdr:row>
      <xdr:rowOff>22860</xdr:rowOff>
    </xdr:to>
    <xdr:graphicFrame macro="">
      <xdr:nvGraphicFramePr>
        <xdr:cNvPr id="4" name="Chart 3">
          <a:extLst>
            <a:ext uri="{FF2B5EF4-FFF2-40B4-BE49-F238E27FC236}">
              <a16:creationId xmlns:a16="http://schemas.microsoft.com/office/drawing/2014/main" id="{C2CA704B-DA70-4853-A48B-599A82959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297180</xdr:colOff>
      <xdr:row>0</xdr:row>
      <xdr:rowOff>171450</xdr:rowOff>
    </xdr:from>
    <xdr:to>
      <xdr:col>7</xdr:col>
      <xdr:colOff>601980</xdr:colOff>
      <xdr:row>15</xdr:row>
      <xdr:rowOff>171450</xdr:rowOff>
    </xdr:to>
    <xdr:graphicFrame macro="">
      <xdr:nvGraphicFramePr>
        <xdr:cNvPr id="2" name="Chart 1">
          <a:extLst>
            <a:ext uri="{FF2B5EF4-FFF2-40B4-BE49-F238E27FC236}">
              <a16:creationId xmlns:a16="http://schemas.microsoft.com/office/drawing/2014/main" id="{8F3C656D-5A6E-A763-5558-431894CDA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297180</xdr:colOff>
      <xdr:row>0</xdr:row>
      <xdr:rowOff>179070</xdr:rowOff>
    </xdr:from>
    <xdr:to>
      <xdr:col>15</xdr:col>
      <xdr:colOff>601980</xdr:colOff>
      <xdr:row>15</xdr:row>
      <xdr:rowOff>179070</xdr:rowOff>
    </xdr:to>
    <xdr:graphicFrame macro="">
      <xdr:nvGraphicFramePr>
        <xdr:cNvPr id="3" name="Chart 2">
          <a:extLst>
            <a:ext uri="{FF2B5EF4-FFF2-40B4-BE49-F238E27FC236}">
              <a16:creationId xmlns:a16="http://schemas.microsoft.com/office/drawing/2014/main" id="{97A35C30-D79B-A8D5-A9EA-AD53C084A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289560</xdr:colOff>
      <xdr:row>1</xdr:row>
      <xdr:rowOff>3810</xdr:rowOff>
    </xdr:from>
    <xdr:to>
      <xdr:col>23</xdr:col>
      <xdr:colOff>594360</xdr:colOff>
      <xdr:row>16</xdr:row>
      <xdr:rowOff>3810</xdr:rowOff>
    </xdr:to>
    <xdr:graphicFrame macro="">
      <xdr:nvGraphicFramePr>
        <xdr:cNvPr id="4" name="Chart 3">
          <a:extLst>
            <a:ext uri="{FF2B5EF4-FFF2-40B4-BE49-F238E27FC236}">
              <a16:creationId xmlns:a16="http://schemas.microsoft.com/office/drawing/2014/main" id="{D716BAEC-F3CA-1F68-5D81-285422F89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297180</xdr:colOff>
      <xdr:row>23</xdr:row>
      <xdr:rowOff>3810</xdr:rowOff>
    </xdr:from>
    <xdr:to>
      <xdr:col>15</xdr:col>
      <xdr:colOff>601980</xdr:colOff>
      <xdr:row>38</xdr:row>
      <xdr:rowOff>3810</xdr:rowOff>
    </xdr:to>
    <xdr:graphicFrame macro="">
      <xdr:nvGraphicFramePr>
        <xdr:cNvPr id="5" name="Chart 4">
          <a:extLst>
            <a:ext uri="{FF2B5EF4-FFF2-40B4-BE49-F238E27FC236}">
              <a16:creationId xmlns:a16="http://schemas.microsoft.com/office/drawing/2014/main" id="{9EBC31F9-23A6-421B-5BC7-CD14DC0CC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297180</xdr:colOff>
      <xdr:row>22</xdr:row>
      <xdr:rowOff>179070</xdr:rowOff>
    </xdr:from>
    <xdr:to>
      <xdr:col>7</xdr:col>
      <xdr:colOff>601980</xdr:colOff>
      <xdr:row>37</xdr:row>
      <xdr:rowOff>179070</xdr:rowOff>
    </xdr:to>
    <xdr:graphicFrame macro="">
      <xdr:nvGraphicFramePr>
        <xdr:cNvPr id="6" name="Chart 5">
          <a:extLst>
            <a:ext uri="{FF2B5EF4-FFF2-40B4-BE49-F238E27FC236}">
              <a16:creationId xmlns:a16="http://schemas.microsoft.com/office/drawing/2014/main" id="{0DD9DB9D-A6B4-7BC4-35BD-B0D723206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289560</xdr:colOff>
      <xdr:row>16</xdr:row>
      <xdr:rowOff>175260</xdr:rowOff>
    </xdr:from>
    <xdr:to>
      <xdr:col>7</xdr:col>
      <xdr:colOff>601980</xdr:colOff>
      <xdr:row>20</xdr:row>
      <xdr:rowOff>106680</xdr:rowOff>
    </xdr:to>
    <xdr:sp macro="" textlink="">
      <xdr:nvSpPr>
        <xdr:cNvPr id="9" name="Rectangle 8">
          <a:extLst>
            <a:ext uri="{FF2B5EF4-FFF2-40B4-BE49-F238E27FC236}">
              <a16:creationId xmlns:a16="http://schemas.microsoft.com/office/drawing/2014/main" id="{E376F0B2-CCA9-342C-B8BB-AD3DE3DFC4A5}"/>
            </a:ext>
          </a:extLst>
        </xdr:cNvPr>
        <xdr:cNvSpPr/>
      </xdr:nvSpPr>
      <xdr:spPr>
        <a:xfrm>
          <a:off x="289560" y="3101340"/>
          <a:ext cx="4579620" cy="662940"/>
        </a:xfrm>
        <a:prstGeom prst="rect">
          <a:avLst/>
        </a:prstGeom>
        <a:ln w="3175">
          <a:solidFill>
            <a:schemeClr val="tx1"/>
          </a:solid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IN" b="1"/>
            <a:t>The business recorded its highest revenue in November (₹21,817), followed by December (₹19,012) and January (₹11,069).</a:t>
          </a:r>
          <a:endParaRPr lang="en-IN" sz="1100" b="1"/>
        </a:p>
      </xdr:txBody>
    </xdr:sp>
    <xdr:clientData/>
  </xdr:twoCellAnchor>
  <xdr:twoCellAnchor>
    <xdr:from>
      <xdr:col>8</xdr:col>
      <xdr:colOff>274320</xdr:colOff>
      <xdr:row>17</xdr:row>
      <xdr:rowOff>0</xdr:rowOff>
    </xdr:from>
    <xdr:to>
      <xdr:col>16</xdr:col>
      <xdr:colOff>0</xdr:colOff>
      <xdr:row>20</xdr:row>
      <xdr:rowOff>114300</xdr:rowOff>
    </xdr:to>
    <xdr:sp macro="" textlink="">
      <xdr:nvSpPr>
        <xdr:cNvPr id="10" name="Rectangle 9">
          <a:extLst>
            <a:ext uri="{FF2B5EF4-FFF2-40B4-BE49-F238E27FC236}">
              <a16:creationId xmlns:a16="http://schemas.microsoft.com/office/drawing/2014/main" id="{918C0175-3547-4D52-BE74-2554890B2212}"/>
            </a:ext>
          </a:extLst>
        </xdr:cNvPr>
        <xdr:cNvSpPr/>
      </xdr:nvSpPr>
      <xdr:spPr>
        <a:xfrm>
          <a:off x="5151120" y="3108960"/>
          <a:ext cx="4602480" cy="662940"/>
        </a:xfrm>
        <a:prstGeom prst="rect">
          <a:avLst/>
        </a:prstGeom>
        <a:ln w="3175">
          <a:solidFill>
            <a:sysClr val="windowText" lastClr="000000"/>
          </a:solid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r>
            <a:rPr lang="en-IN" b="1"/>
            <a:t>The Afternoon meal session generated the highest revenue (₹32,050), significantly outperforming:</a:t>
          </a:r>
          <a:r>
            <a:rPr lang="en-IN" b="1" baseline="0"/>
            <a:t> </a:t>
          </a:r>
          <a:r>
            <a:rPr lang="en-IN" b="1"/>
            <a:t>Morning: ₹11,994</a:t>
          </a:r>
          <a:r>
            <a:rPr lang="en-IN" b="1" baseline="0"/>
            <a:t> &amp; </a:t>
          </a:r>
          <a:r>
            <a:rPr lang="en-IN" b="1"/>
            <a:t>Night: ₹7,854</a:t>
          </a:r>
        </a:p>
        <a:p>
          <a:pPr algn="l"/>
          <a:endParaRPr lang="en-IN" sz="1100" b="1"/>
        </a:p>
      </xdr:txBody>
    </xdr:sp>
    <xdr:clientData/>
  </xdr:twoCellAnchor>
  <xdr:twoCellAnchor>
    <xdr:from>
      <xdr:col>16</xdr:col>
      <xdr:colOff>274320</xdr:colOff>
      <xdr:row>16</xdr:row>
      <xdr:rowOff>175260</xdr:rowOff>
    </xdr:from>
    <xdr:to>
      <xdr:col>24</xdr:col>
      <xdr:colOff>15240</xdr:colOff>
      <xdr:row>20</xdr:row>
      <xdr:rowOff>106680</xdr:rowOff>
    </xdr:to>
    <xdr:sp macro="" textlink="">
      <xdr:nvSpPr>
        <xdr:cNvPr id="13" name="Rectangle 12">
          <a:extLst>
            <a:ext uri="{FF2B5EF4-FFF2-40B4-BE49-F238E27FC236}">
              <a16:creationId xmlns:a16="http://schemas.microsoft.com/office/drawing/2014/main" id="{A46D4BBB-61C3-472A-87D7-BA285B6A0B1E}"/>
            </a:ext>
          </a:extLst>
        </xdr:cNvPr>
        <xdr:cNvSpPr/>
      </xdr:nvSpPr>
      <xdr:spPr>
        <a:xfrm>
          <a:off x="10027920" y="3101340"/>
          <a:ext cx="4617720" cy="662940"/>
        </a:xfrm>
        <a:prstGeom prst="rect">
          <a:avLst/>
        </a:prstGeom>
        <a:ln w="3175">
          <a:solidFill>
            <a:sysClr val="windowText" lastClr="000000"/>
          </a:solid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IN" b="1"/>
            <a:t>Nearly half of the total revenue was generated in November alone.</a:t>
          </a:r>
          <a:r>
            <a:rPr lang="en-IN" b="1" baseline="0"/>
            <a:t> </a:t>
          </a:r>
          <a:r>
            <a:rPr lang="en-IN" b="1"/>
            <a:t>January’s contribution was significantly lower, contributing only around one-fifth of total revenue.</a:t>
          </a:r>
        </a:p>
        <a:p>
          <a:pPr algn="l"/>
          <a:endParaRPr lang="en-IN" sz="1100" b="1"/>
        </a:p>
        <a:p>
          <a:pPr algn="l"/>
          <a:endParaRPr lang="en-IN" sz="1100" b="1"/>
        </a:p>
      </xdr:txBody>
    </xdr:sp>
    <xdr:clientData/>
  </xdr:twoCellAnchor>
  <xdr:twoCellAnchor>
    <xdr:from>
      <xdr:col>0</xdr:col>
      <xdr:colOff>304800</xdr:colOff>
      <xdr:row>39</xdr:row>
      <xdr:rowOff>7620</xdr:rowOff>
    </xdr:from>
    <xdr:to>
      <xdr:col>8</xdr:col>
      <xdr:colOff>7620</xdr:colOff>
      <xdr:row>42</xdr:row>
      <xdr:rowOff>121920</xdr:rowOff>
    </xdr:to>
    <xdr:sp macro="" textlink="">
      <xdr:nvSpPr>
        <xdr:cNvPr id="14" name="Rectangle 13">
          <a:extLst>
            <a:ext uri="{FF2B5EF4-FFF2-40B4-BE49-F238E27FC236}">
              <a16:creationId xmlns:a16="http://schemas.microsoft.com/office/drawing/2014/main" id="{07E5715D-864C-42D4-A7F8-4C5DFA00B808}"/>
            </a:ext>
          </a:extLst>
        </xdr:cNvPr>
        <xdr:cNvSpPr/>
      </xdr:nvSpPr>
      <xdr:spPr>
        <a:xfrm>
          <a:off x="304800" y="7139940"/>
          <a:ext cx="4579620" cy="662940"/>
        </a:xfrm>
        <a:prstGeom prst="rect">
          <a:avLst/>
        </a:prstGeom>
        <a:ln w="3175">
          <a:solidFill>
            <a:sysClr val="windowText" lastClr="000000"/>
          </a:solid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IN" b="1"/>
            <a:t>The Afternoon time slot consistently generated the highest revenue across all three months, making it the dominant contributor to the business’s overall earnings.</a:t>
          </a:r>
          <a:endParaRPr lang="en-IN" sz="1100" b="1"/>
        </a:p>
      </xdr:txBody>
    </xdr:sp>
    <xdr:clientData/>
  </xdr:twoCellAnchor>
  <xdr:twoCellAnchor>
    <xdr:from>
      <xdr:col>8</xdr:col>
      <xdr:colOff>304800</xdr:colOff>
      <xdr:row>39</xdr:row>
      <xdr:rowOff>7620</xdr:rowOff>
    </xdr:from>
    <xdr:to>
      <xdr:col>16</xdr:col>
      <xdr:colOff>7620</xdr:colOff>
      <xdr:row>42</xdr:row>
      <xdr:rowOff>121920</xdr:rowOff>
    </xdr:to>
    <xdr:sp macro="" textlink="">
      <xdr:nvSpPr>
        <xdr:cNvPr id="15" name="Rectangle 14">
          <a:extLst>
            <a:ext uri="{FF2B5EF4-FFF2-40B4-BE49-F238E27FC236}">
              <a16:creationId xmlns:a16="http://schemas.microsoft.com/office/drawing/2014/main" id="{54D372A0-B4F2-4B15-B5E1-88EB92096A55}"/>
            </a:ext>
          </a:extLst>
        </xdr:cNvPr>
        <xdr:cNvSpPr/>
      </xdr:nvSpPr>
      <xdr:spPr>
        <a:xfrm>
          <a:off x="5181600" y="7139940"/>
          <a:ext cx="4579620" cy="662940"/>
        </a:xfrm>
        <a:prstGeom prst="rect">
          <a:avLst/>
        </a:prstGeom>
        <a:ln w="3175">
          <a:solidFill>
            <a:sysClr val="windowText" lastClr="000000"/>
          </a:solid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IN" b="1"/>
            <a:t>The Daily Revenue Trend chart shows noticeable fluctuations in daily revenue, with multiple spikes and drops across the observed period.</a:t>
          </a:r>
          <a:endParaRPr lang="en-IN" sz="1100" b="1"/>
        </a:p>
      </xdr:txBody>
    </xdr:sp>
    <xdr:clientData/>
  </xdr:twoCellAnchor>
  <xdr:twoCellAnchor>
    <xdr:from>
      <xdr:col>16</xdr:col>
      <xdr:colOff>304800</xdr:colOff>
      <xdr:row>22</xdr:row>
      <xdr:rowOff>179070</xdr:rowOff>
    </xdr:from>
    <xdr:to>
      <xdr:col>24</xdr:col>
      <xdr:colOff>0</xdr:colOff>
      <xdr:row>37</xdr:row>
      <xdr:rowOff>179070</xdr:rowOff>
    </xdr:to>
    <xdr:graphicFrame macro="">
      <xdr:nvGraphicFramePr>
        <xdr:cNvPr id="7" name="Chart 5">
          <a:extLst>
            <a:ext uri="{FF2B5EF4-FFF2-40B4-BE49-F238E27FC236}">
              <a16:creationId xmlns:a16="http://schemas.microsoft.com/office/drawing/2014/main" id="{5F434C95-2B79-60C7-2355-105A9EA0F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304800</xdr:colOff>
      <xdr:row>39</xdr:row>
      <xdr:rowOff>7620</xdr:rowOff>
    </xdr:from>
    <xdr:to>
      <xdr:col>24</xdr:col>
      <xdr:colOff>7620</xdr:colOff>
      <xdr:row>42</xdr:row>
      <xdr:rowOff>121920</xdr:rowOff>
    </xdr:to>
    <xdr:sp macro="" textlink="">
      <xdr:nvSpPr>
        <xdr:cNvPr id="8" name="Rectangle 7">
          <a:extLst>
            <a:ext uri="{FF2B5EF4-FFF2-40B4-BE49-F238E27FC236}">
              <a16:creationId xmlns:a16="http://schemas.microsoft.com/office/drawing/2014/main" id="{0D06A4CA-9BCC-4889-8842-D1F6F5E9D212}"/>
            </a:ext>
          </a:extLst>
        </xdr:cNvPr>
        <xdr:cNvSpPr/>
      </xdr:nvSpPr>
      <xdr:spPr>
        <a:xfrm>
          <a:off x="10058400" y="7139940"/>
          <a:ext cx="4579620" cy="662940"/>
        </a:xfrm>
        <a:prstGeom prst="rect">
          <a:avLst/>
        </a:prstGeom>
        <a:ln w="3175">
          <a:solidFill>
            <a:sysClr val="windowText" lastClr="000000"/>
          </a:solid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IN" b="1"/>
            <a:t>Chicken Meals is by far the</a:t>
          </a:r>
          <a:r>
            <a:rPr lang="en-IN" b="1" baseline="0"/>
            <a:t> </a:t>
          </a:r>
          <a:r>
            <a:rPr lang="en-IN" b="1"/>
            <a:t>largest revenue driver, bringing in well over ₹11,000</a:t>
          </a:r>
          <a:r>
            <a:rPr lang="en-IN" b="1" baseline="0"/>
            <a:t> </a:t>
          </a:r>
          <a:r>
            <a:rPr lang="en-IN" b="1"/>
            <a:t>nearly double the revenue of the next best item (Veg Meals at roughly ₹6,500).</a:t>
          </a:r>
          <a:endParaRPr lang="en-IN"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43338</xdr:colOff>
      <xdr:row>3</xdr:row>
      <xdr:rowOff>38100</xdr:rowOff>
    </xdr:from>
    <xdr:to>
      <xdr:col>14</xdr:col>
      <xdr:colOff>552926</xdr:colOff>
      <xdr:row>23</xdr:row>
      <xdr:rowOff>161925</xdr:rowOff>
    </xdr:to>
    <xdr:graphicFrame macro="">
      <xdr:nvGraphicFramePr>
        <xdr:cNvPr id="2" name="Chart 1">
          <a:extLst>
            <a:ext uri="{FF2B5EF4-FFF2-40B4-BE49-F238E27FC236}">
              <a16:creationId xmlns:a16="http://schemas.microsoft.com/office/drawing/2014/main" id="{0562EB92-803B-4401-B6F9-AD8BD72B9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38100</xdr:colOff>
      <xdr:row>26</xdr:row>
      <xdr:rowOff>15240</xdr:rowOff>
    </xdr:from>
    <xdr:to>
      <xdr:col>14</xdr:col>
      <xdr:colOff>601980</xdr:colOff>
      <xdr:row>31</xdr:row>
      <xdr:rowOff>160020</xdr:rowOff>
    </xdr:to>
    <xdr:sp macro="" textlink="">
      <xdr:nvSpPr>
        <xdr:cNvPr id="4" name="TextBox 3">
          <a:extLst>
            <a:ext uri="{FF2B5EF4-FFF2-40B4-BE49-F238E27FC236}">
              <a16:creationId xmlns:a16="http://schemas.microsoft.com/office/drawing/2014/main" id="{0FE46388-1F35-9C41-EBD4-2B24E79AA318}"/>
            </a:ext>
          </a:extLst>
        </xdr:cNvPr>
        <xdr:cNvSpPr txBox="1"/>
      </xdr:nvSpPr>
      <xdr:spPr>
        <a:xfrm>
          <a:off x="647700" y="4800600"/>
          <a:ext cx="8488680" cy="1059180"/>
        </a:xfrm>
        <a:prstGeom prst="rect">
          <a:avLst/>
        </a:prstGeom>
        <a:solidFill>
          <a:schemeClr val="accent6">
            <a:lumMod val="40000"/>
            <a:lumOff val="60000"/>
          </a:schemeClr>
        </a:solidFill>
        <a:ln w="1905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IN" b="1" cap="none" spc="0">
              <a:ln w="0"/>
              <a:solidFill>
                <a:schemeClr val="tx1"/>
              </a:solidFill>
              <a:effectLst>
                <a:outerShdw blurRad="38100" dist="19050" dir="2700000" algn="tl" rotWithShape="0">
                  <a:schemeClr val="dk1">
                    <a:alpha val="40000"/>
                  </a:schemeClr>
                </a:outerShdw>
              </a:effectLst>
              <a:latin typeface="+mn-lt"/>
            </a:rPr>
            <a:t>Overview</a:t>
          </a:r>
        </a:p>
        <a:p>
          <a:endParaRPr lang="en-IN" b="0" cap="none" spc="0">
            <a:ln w="0"/>
            <a:solidFill>
              <a:schemeClr val="tx1"/>
            </a:solidFill>
            <a:effectLst>
              <a:outerShdw blurRad="38100" dist="19050" dir="2700000" algn="tl" rotWithShape="0">
                <a:schemeClr val="dk1">
                  <a:alpha val="40000"/>
                </a:schemeClr>
              </a:outerShdw>
            </a:effectLst>
            <a:latin typeface="+mn-lt"/>
          </a:endParaRPr>
        </a:p>
        <a:p>
          <a:r>
            <a:rPr lang="en-IN" b="0" cap="none" spc="0">
              <a:ln w="0"/>
              <a:solidFill>
                <a:schemeClr val="tx1"/>
              </a:solidFill>
              <a:effectLst>
                <a:outerShdw blurRad="38100" dist="19050" dir="2700000" algn="tl" rotWithShape="0">
                  <a:schemeClr val="dk1">
                    <a:alpha val="40000"/>
                  </a:schemeClr>
                </a:outerShdw>
              </a:effectLst>
              <a:latin typeface="+mn-lt"/>
            </a:rPr>
            <a:t>The forecast analysis provides an estimate of future revenue trends based on historical sales performance. The projection indicates that revenue is expected to remain relatively stable with moderate fluctuations over the forecast period. While the business shows signs of continued demand, the widening confidence range suggests some uncertainty in future performance.</a:t>
          </a:r>
        </a:p>
        <a:p>
          <a:endParaRPr lang="en-IN" sz="1100"/>
        </a:p>
      </xdr:txBody>
    </xdr:sp>
    <xdr:clientData/>
  </xdr:twoCellAnchor>
  <xdr:twoCellAnchor>
    <xdr:from>
      <xdr:col>1</xdr:col>
      <xdr:colOff>30480</xdr:colOff>
      <xdr:row>33</xdr:row>
      <xdr:rowOff>22860</xdr:rowOff>
    </xdr:from>
    <xdr:to>
      <xdr:col>14</xdr:col>
      <xdr:colOff>586740</xdr:colOff>
      <xdr:row>42</xdr:row>
      <xdr:rowOff>15240</xdr:rowOff>
    </xdr:to>
    <xdr:sp macro="" textlink="">
      <xdr:nvSpPr>
        <xdr:cNvPr id="5" name="TextBox 4">
          <a:extLst>
            <a:ext uri="{FF2B5EF4-FFF2-40B4-BE49-F238E27FC236}">
              <a16:creationId xmlns:a16="http://schemas.microsoft.com/office/drawing/2014/main" id="{EEDF7A98-C98B-8016-CAD8-A8671D7D8B57}"/>
            </a:ext>
          </a:extLst>
        </xdr:cNvPr>
        <xdr:cNvSpPr txBox="1"/>
      </xdr:nvSpPr>
      <xdr:spPr>
        <a:xfrm>
          <a:off x="640080" y="6088380"/>
          <a:ext cx="8481060" cy="1638300"/>
        </a:xfrm>
        <a:prstGeom prst="rect">
          <a:avLst/>
        </a:prstGeom>
        <a:solidFill>
          <a:schemeClr val="accent6">
            <a:lumMod val="40000"/>
            <a:lumOff val="60000"/>
          </a:schemeClr>
        </a:solidFill>
        <a:ln w="1905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IN" b="1" cap="none" spc="0">
              <a:ln w="0"/>
              <a:solidFill>
                <a:schemeClr val="tx1"/>
              </a:solidFill>
              <a:effectLst>
                <a:outerShdw blurRad="38100" dist="19050" dir="2700000" algn="tl" rotWithShape="0">
                  <a:schemeClr val="dk1">
                    <a:alpha val="40000"/>
                  </a:schemeClr>
                </a:outerShdw>
              </a:effectLst>
            </a:rPr>
            <a:t>1) Revenue Trend Outlook</a:t>
          </a:r>
        </a:p>
        <a:p>
          <a:endParaRPr lang="en-IN" b="0" cap="none" spc="0">
            <a:ln w="0"/>
            <a:solidFill>
              <a:schemeClr val="tx1"/>
            </a:solidFill>
            <a:effectLst>
              <a:outerShdw blurRad="38100" dist="19050" dir="2700000" algn="tl" rotWithShape="0">
                <a:schemeClr val="dk1">
                  <a:alpha val="40000"/>
                </a:schemeClr>
              </a:outerShdw>
            </a:effectLst>
          </a:endParaRPr>
        </a:p>
        <a:p>
          <a:r>
            <a:rPr lang="en-IN" b="0" cap="none" spc="0">
              <a:ln w="0"/>
              <a:solidFill>
                <a:schemeClr val="tx1"/>
              </a:solidFill>
              <a:effectLst>
                <a:outerShdw blurRad="38100" dist="19050" dir="2700000" algn="tl" rotWithShape="0">
                  <a:schemeClr val="dk1">
                    <a:alpha val="40000"/>
                  </a:schemeClr>
                </a:outerShdw>
              </a:effectLst>
            </a:rPr>
            <a:t>Key Insight :</a:t>
          </a:r>
        </a:p>
        <a:p>
          <a:r>
            <a:rPr lang="en-IN" b="0" cap="none" spc="0">
              <a:ln w="0"/>
              <a:solidFill>
                <a:schemeClr val="tx1"/>
              </a:solidFill>
              <a:effectLst>
                <a:outerShdw blurRad="38100" dist="19050" dir="2700000" algn="tl" rotWithShape="0">
                  <a:schemeClr val="dk1">
                    <a:alpha val="40000"/>
                  </a:schemeClr>
                </a:outerShdw>
              </a:effectLst>
            </a:rPr>
            <a:t>The forecast suggests that total revenue is likely to maintain a consistent upward-to-stable trend in the near term, with expected daily revenue generally remaining within the recent performance range.</a:t>
          </a:r>
        </a:p>
        <a:p>
          <a:endParaRPr lang="en-IN" b="0" cap="none" spc="0">
            <a:ln w="0"/>
            <a:solidFill>
              <a:schemeClr val="tx1"/>
            </a:solidFill>
            <a:effectLst>
              <a:outerShdw blurRad="38100" dist="19050" dir="2700000" algn="tl" rotWithShape="0">
                <a:schemeClr val="dk1">
                  <a:alpha val="40000"/>
                </a:schemeClr>
              </a:outerShdw>
            </a:effectLst>
          </a:endParaRPr>
        </a:p>
        <a:p>
          <a:r>
            <a:rPr lang="en-IN" b="0" cap="none" spc="0">
              <a:ln w="0"/>
              <a:solidFill>
                <a:schemeClr val="tx1"/>
              </a:solidFill>
              <a:effectLst>
                <a:outerShdw blurRad="38100" dist="19050" dir="2700000" algn="tl" rotWithShape="0">
                  <a:schemeClr val="dk1">
                    <a:alpha val="40000"/>
                  </a:schemeClr>
                </a:outerShdw>
              </a:effectLst>
            </a:rPr>
            <a:t>Interpretation :</a:t>
          </a:r>
        </a:p>
        <a:p>
          <a:r>
            <a:rPr lang="en-IN" b="0" cap="none" spc="0">
              <a:ln w="0"/>
              <a:solidFill>
                <a:schemeClr val="tx1"/>
              </a:solidFill>
              <a:effectLst>
                <a:outerShdw blurRad="38100" dist="19050" dir="2700000" algn="tl" rotWithShape="0">
                  <a:schemeClr val="dk1">
                    <a:alpha val="40000"/>
                  </a:schemeClr>
                </a:outerShdw>
              </a:effectLst>
            </a:rPr>
            <a:t>Historical data shows recurring revenue activity with periodic spikes, indicating that customer demand continues to exist consistently. The forecasted trend line remains positive overall, suggesting that the business is likely to sustain operational activity without major immediate decline.</a:t>
          </a:r>
        </a:p>
      </xdr:txBody>
    </xdr:sp>
    <xdr:clientData/>
  </xdr:twoCellAnchor>
  <xdr:twoCellAnchor>
    <xdr:from>
      <xdr:col>1</xdr:col>
      <xdr:colOff>15240</xdr:colOff>
      <xdr:row>43</xdr:row>
      <xdr:rowOff>22860</xdr:rowOff>
    </xdr:from>
    <xdr:to>
      <xdr:col>14</xdr:col>
      <xdr:colOff>601980</xdr:colOff>
      <xdr:row>54</xdr:row>
      <xdr:rowOff>0</xdr:rowOff>
    </xdr:to>
    <xdr:sp macro="" textlink="">
      <xdr:nvSpPr>
        <xdr:cNvPr id="6" name="TextBox 5">
          <a:extLst>
            <a:ext uri="{FF2B5EF4-FFF2-40B4-BE49-F238E27FC236}">
              <a16:creationId xmlns:a16="http://schemas.microsoft.com/office/drawing/2014/main" id="{77323F35-32A5-4EE4-94B3-AE57B7654EF8}"/>
            </a:ext>
          </a:extLst>
        </xdr:cNvPr>
        <xdr:cNvSpPr txBox="1"/>
      </xdr:nvSpPr>
      <xdr:spPr>
        <a:xfrm>
          <a:off x="624840" y="7917180"/>
          <a:ext cx="8511540" cy="1988820"/>
        </a:xfrm>
        <a:prstGeom prst="rect">
          <a:avLst/>
        </a:prstGeom>
        <a:solidFill>
          <a:schemeClr val="accent6">
            <a:lumMod val="40000"/>
            <a:lumOff val="60000"/>
          </a:schemeClr>
        </a:solidFill>
        <a:ln w="1905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IN" b="1" cap="none" spc="0">
              <a:ln w="0"/>
              <a:solidFill>
                <a:schemeClr val="tx1"/>
              </a:solidFill>
              <a:effectLst>
                <a:outerShdw blurRad="38100" dist="19050" dir="2700000" algn="tl" rotWithShape="0">
                  <a:schemeClr val="dk1">
                    <a:alpha val="40000"/>
                  </a:schemeClr>
                </a:outerShdw>
              </a:effectLst>
            </a:rPr>
            <a:t>2) Revenue Volatility &amp; Demand Fluctuation</a:t>
          </a:r>
        </a:p>
        <a:p>
          <a:endParaRPr lang="en-IN" b="0" cap="none" spc="0">
            <a:ln w="0"/>
            <a:solidFill>
              <a:schemeClr val="tx1"/>
            </a:solidFill>
            <a:effectLst>
              <a:outerShdw blurRad="38100" dist="19050" dir="2700000" algn="tl" rotWithShape="0">
                <a:schemeClr val="dk1">
                  <a:alpha val="40000"/>
                </a:schemeClr>
              </a:outerShdw>
            </a:effectLst>
          </a:endParaRPr>
        </a:p>
        <a:p>
          <a:r>
            <a:rPr lang="en-IN" b="0" cap="none" spc="0">
              <a:ln w="0"/>
              <a:solidFill>
                <a:schemeClr val="tx1"/>
              </a:solidFill>
              <a:effectLst>
                <a:outerShdw blurRad="38100" dist="19050" dir="2700000" algn="tl" rotWithShape="0">
                  <a:schemeClr val="dk1">
                    <a:alpha val="40000"/>
                  </a:schemeClr>
                </a:outerShdw>
              </a:effectLst>
            </a:rPr>
            <a:t>Key Insight :</a:t>
          </a:r>
        </a:p>
        <a:p>
          <a:r>
            <a:rPr lang="en-IN" b="0" cap="none" spc="0">
              <a:ln w="0"/>
              <a:solidFill>
                <a:schemeClr val="tx1"/>
              </a:solidFill>
              <a:effectLst>
                <a:outerShdw blurRad="38100" dist="19050" dir="2700000" algn="tl" rotWithShape="0">
                  <a:schemeClr val="dk1">
                    <a:alpha val="40000"/>
                  </a:schemeClr>
                </a:outerShdw>
              </a:effectLst>
            </a:rPr>
            <a:t>Although the projected trend appears stable, the forecast also shows noticeable fluctuations in expected revenue levels.</a:t>
          </a:r>
        </a:p>
        <a:p>
          <a:endParaRPr lang="en-IN" b="0" cap="none" spc="0">
            <a:ln w="0"/>
            <a:solidFill>
              <a:schemeClr val="tx1"/>
            </a:solidFill>
            <a:effectLst>
              <a:outerShdw blurRad="38100" dist="19050" dir="2700000" algn="tl" rotWithShape="0">
                <a:schemeClr val="dk1">
                  <a:alpha val="40000"/>
                </a:schemeClr>
              </a:outerShdw>
            </a:effectLst>
          </a:endParaRPr>
        </a:p>
        <a:p>
          <a:r>
            <a:rPr lang="en-IN" b="0" cap="none" spc="0">
              <a:ln w="0"/>
              <a:solidFill>
                <a:schemeClr val="tx1"/>
              </a:solidFill>
              <a:effectLst>
                <a:outerShdw blurRad="38100" dist="19050" dir="2700000" algn="tl" rotWithShape="0">
                  <a:schemeClr val="dk1">
                    <a:alpha val="40000"/>
                  </a:schemeClr>
                </a:outerShdw>
              </a:effectLst>
            </a:rPr>
            <a:t>Interpretation :</a:t>
          </a:r>
        </a:p>
        <a:p>
          <a:r>
            <a:rPr lang="en-IN" b="0" cap="none" spc="0">
              <a:ln w="0"/>
              <a:solidFill>
                <a:schemeClr val="tx1"/>
              </a:solidFill>
              <a:effectLst>
                <a:outerShdw blurRad="38100" dist="19050" dir="2700000" algn="tl" rotWithShape="0">
                  <a:schemeClr val="dk1">
                    <a:alpha val="40000"/>
                  </a:schemeClr>
                </a:outerShdw>
              </a:effectLst>
            </a:rPr>
            <a:t>The variation in the forecast line indicates that demand is not fully predictable on a day-to-day basis. Certain periods may experience stronger sales performance, while others may see temporary slowdowns.</a:t>
          </a:r>
        </a:p>
        <a:p>
          <a:endParaRPr lang="en-IN" b="0" cap="none" spc="0">
            <a:ln w="0"/>
            <a:solidFill>
              <a:schemeClr val="tx1"/>
            </a:solidFill>
            <a:effectLst>
              <a:outerShdw blurRad="38100" dist="19050" dir="2700000" algn="tl" rotWithShape="0">
                <a:schemeClr val="dk1">
                  <a:alpha val="40000"/>
                </a:schemeClr>
              </a:outerShdw>
            </a:effectLst>
          </a:endParaRPr>
        </a:p>
        <a:p>
          <a:r>
            <a:rPr lang="en-IN" b="0" cap="none" spc="0">
              <a:ln w="0"/>
              <a:solidFill>
                <a:schemeClr val="tx1"/>
              </a:solidFill>
              <a:effectLst>
                <a:outerShdw blurRad="38100" dist="19050" dir="2700000" algn="tl" rotWithShape="0">
                  <a:schemeClr val="dk1">
                    <a:alpha val="40000"/>
                  </a:schemeClr>
                </a:outerShdw>
              </a:effectLst>
            </a:rPr>
            <a:t>Possible contributing factors include</a:t>
          </a:r>
          <a:r>
            <a:rPr lang="en-IN" b="0" cap="none" spc="0" baseline="0">
              <a:ln w="0"/>
              <a:solidFill>
                <a:schemeClr val="tx1"/>
              </a:solidFill>
              <a:effectLst>
                <a:outerShdw blurRad="38100" dist="19050" dir="2700000" algn="tl" rotWithShape="0">
                  <a:schemeClr val="dk1">
                    <a:alpha val="40000"/>
                  </a:schemeClr>
                </a:outerShdw>
              </a:effectLst>
            </a:rPr>
            <a:t> :</a:t>
          </a:r>
          <a:endParaRPr lang="en-IN" b="0" cap="none" spc="0">
            <a:ln w="0"/>
            <a:solidFill>
              <a:schemeClr val="tx1"/>
            </a:solidFill>
            <a:effectLst>
              <a:outerShdw blurRad="38100" dist="19050" dir="2700000" algn="tl" rotWithShape="0">
                <a:schemeClr val="dk1">
                  <a:alpha val="40000"/>
                </a:schemeClr>
              </a:outerShdw>
            </a:effectLst>
          </a:endParaRPr>
        </a:p>
        <a:p>
          <a:r>
            <a:rPr lang="en-IN" b="0" i="0" cap="none" spc="0">
              <a:ln w="0"/>
              <a:solidFill>
                <a:schemeClr val="tx1"/>
              </a:solidFill>
              <a:effectLst>
                <a:outerShdw blurRad="38100" dist="19050" dir="2700000" algn="tl" rotWithShape="0">
                  <a:schemeClr val="dk1">
                    <a:alpha val="40000"/>
                  </a:schemeClr>
                </a:outerShdw>
              </a:effectLst>
            </a:rPr>
            <a:t>Changes in office attendance,</a:t>
          </a:r>
          <a:r>
            <a:rPr lang="en-IN" b="0" i="0" cap="none" spc="0" baseline="0">
              <a:ln w="0"/>
              <a:solidFill>
                <a:schemeClr val="tx1"/>
              </a:solidFill>
              <a:effectLst>
                <a:outerShdw blurRad="38100" dist="19050" dir="2700000" algn="tl" rotWithShape="0">
                  <a:schemeClr val="dk1">
                    <a:alpha val="40000"/>
                  </a:schemeClr>
                </a:outerShdw>
              </a:effectLst>
            </a:rPr>
            <a:t> </a:t>
          </a:r>
          <a:r>
            <a:rPr lang="en-IN" b="0" i="0" cap="none" spc="0">
              <a:ln w="0"/>
              <a:solidFill>
                <a:schemeClr val="tx1"/>
              </a:solidFill>
              <a:effectLst>
                <a:outerShdw blurRad="38100" dist="19050" dir="2700000" algn="tl" rotWithShape="0">
                  <a:schemeClr val="dk1">
                    <a:alpha val="40000"/>
                  </a:schemeClr>
                </a:outerShdw>
              </a:effectLst>
            </a:rPr>
            <a:t>Variations in corporate meal orders,</a:t>
          </a:r>
          <a:r>
            <a:rPr lang="en-IN" b="0" i="0" cap="none" spc="0" baseline="0">
              <a:ln w="0"/>
              <a:solidFill>
                <a:schemeClr val="tx1"/>
              </a:solidFill>
              <a:effectLst>
                <a:outerShdw blurRad="38100" dist="19050" dir="2700000" algn="tl" rotWithShape="0">
                  <a:schemeClr val="dk1">
                    <a:alpha val="40000"/>
                  </a:schemeClr>
                </a:outerShdw>
              </a:effectLst>
            </a:rPr>
            <a:t> </a:t>
          </a:r>
          <a:r>
            <a:rPr lang="en-IN" b="0" i="0" cap="none" spc="0">
              <a:ln w="0"/>
              <a:solidFill>
                <a:schemeClr val="tx1"/>
              </a:solidFill>
              <a:effectLst>
                <a:outerShdw blurRad="38100" dist="19050" dir="2700000" algn="tl" rotWithShape="0">
                  <a:schemeClr val="dk1">
                    <a:alpha val="40000"/>
                  </a:schemeClr>
                </a:outerShdw>
              </a:effectLst>
            </a:rPr>
            <a:t>Seasonal or event-based demand,</a:t>
          </a:r>
          <a:r>
            <a:rPr lang="en-IN" b="0" i="0" cap="none" spc="0" baseline="0">
              <a:ln w="0"/>
              <a:solidFill>
                <a:schemeClr val="tx1"/>
              </a:solidFill>
              <a:effectLst>
                <a:outerShdw blurRad="38100" dist="19050" dir="2700000" algn="tl" rotWithShape="0">
                  <a:schemeClr val="dk1">
                    <a:alpha val="40000"/>
                  </a:schemeClr>
                </a:outerShdw>
              </a:effectLst>
            </a:rPr>
            <a:t> </a:t>
          </a:r>
          <a:r>
            <a:rPr lang="en-IN" b="0" i="0" cap="none" spc="0">
              <a:ln w="0"/>
              <a:solidFill>
                <a:schemeClr val="tx1"/>
              </a:solidFill>
              <a:effectLst>
                <a:outerShdw blurRad="38100" dist="19050" dir="2700000" algn="tl" rotWithShape="0">
                  <a:schemeClr val="dk1">
                    <a:alpha val="40000"/>
                  </a:schemeClr>
                </a:outerShdw>
              </a:effectLst>
            </a:rPr>
            <a:t>Customer ordering behavior </a:t>
          </a:r>
        </a:p>
      </xdr:txBody>
    </xdr:sp>
    <xdr:clientData/>
  </xdr:twoCellAnchor>
  <xdr:twoCellAnchor>
    <xdr:from>
      <xdr:col>1</xdr:col>
      <xdr:colOff>15240</xdr:colOff>
      <xdr:row>55</xdr:row>
      <xdr:rowOff>22860</xdr:rowOff>
    </xdr:from>
    <xdr:to>
      <xdr:col>15</xdr:col>
      <xdr:colOff>15240</xdr:colOff>
      <xdr:row>64</xdr:row>
      <xdr:rowOff>167640</xdr:rowOff>
    </xdr:to>
    <xdr:sp macro="" textlink="">
      <xdr:nvSpPr>
        <xdr:cNvPr id="7" name="TextBox 6">
          <a:extLst>
            <a:ext uri="{FF2B5EF4-FFF2-40B4-BE49-F238E27FC236}">
              <a16:creationId xmlns:a16="http://schemas.microsoft.com/office/drawing/2014/main" id="{849BEBC0-7854-4AB2-B612-997B7A13E45B}"/>
            </a:ext>
          </a:extLst>
        </xdr:cNvPr>
        <xdr:cNvSpPr txBox="1"/>
      </xdr:nvSpPr>
      <xdr:spPr>
        <a:xfrm>
          <a:off x="624840" y="10111740"/>
          <a:ext cx="8534400" cy="1790700"/>
        </a:xfrm>
        <a:prstGeom prst="rect">
          <a:avLst/>
        </a:prstGeom>
        <a:solidFill>
          <a:schemeClr val="accent6">
            <a:lumMod val="40000"/>
            <a:lumOff val="60000"/>
          </a:schemeClr>
        </a:solidFill>
        <a:ln w="1905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IN" b="1" cap="none" spc="0">
              <a:ln w="0"/>
              <a:solidFill>
                <a:schemeClr val="tx1"/>
              </a:solidFill>
              <a:effectLst>
                <a:outerShdw blurRad="38100" dist="19050" dir="2700000" algn="tl" rotWithShape="0">
                  <a:schemeClr val="dk1">
                    <a:alpha val="40000"/>
                  </a:schemeClr>
                </a:outerShdw>
              </a:effectLst>
            </a:rPr>
            <a:t>Summary</a:t>
          </a:r>
        </a:p>
        <a:p>
          <a:endParaRPr lang="en-IN" b="0" cap="none" spc="0">
            <a:ln w="0"/>
            <a:solidFill>
              <a:schemeClr val="tx1"/>
            </a:solidFill>
            <a:effectLst>
              <a:outerShdw blurRad="38100" dist="19050" dir="2700000" algn="tl" rotWithShape="0">
                <a:schemeClr val="dk1">
                  <a:alpha val="40000"/>
                </a:schemeClr>
              </a:outerShdw>
            </a:effectLst>
          </a:endParaRPr>
        </a:p>
        <a:p>
          <a:r>
            <a:rPr lang="en-IN" b="0" cap="none" spc="0">
              <a:ln w="0"/>
              <a:solidFill>
                <a:schemeClr val="tx1"/>
              </a:solidFill>
              <a:effectLst>
                <a:outerShdw blurRad="38100" dist="19050" dir="2700000" algn="tl" rotWithShape="0">
                  <a:schemeClr val="dk1">
                    <a:alpha val="40000"/>
                  </a:schemeClr>
                </a:outerShdw>
              </a:effectLst>
            </a:rPr>
            <a:t>The forecast analysis indicates that the Corporate Meal Subscription business is expected to maintain relatively stable operations in the short term, supported by consistent customer demand patterns. However, revenue fluctuations and widening uncertainty ranges highlight the importance of proactive planning and operational flexibility.</a:t>
          </a:r>
        </a:p>
        <a:p>
          <a:endParaRPr lang="en-IN" b="0" cap="none" spc="0">
            <a:ln w="0"/>
            <a:solidFill>
              <a:schemeClr val="tx1"/>
            </a:solidFill>
            <a:effectLst>
              <a:outerShdw blurRad="38100" dist="19050" dir="2700000" algn="tl" rotWithShape="0">
                <a:schemeClr val="dk1">
                  <a:alpha val="40000"/>
                </a:schemeClr>
              </a:outerShdw>
            </a:effectLst>
          </a:endParaRPr>
        </a:p>
        <a:p>
          <a:r>
            <a:rPr lang="en-IN" b="0" cap="none" spc="0">
              <a:ln w="0"/>
              <a:solidFill>
                <a:schemeClr val="tx1"/>
              </a:solidFill>
              <a:effectLst>
                <a:outerShdw blurRad="38100" dist="19050" dir="2700000" algn="tl" rotWithShape="0">
                  <a:schemeClr val="dk1">
                    <a:alpha val="40000"/>
                  </a:schemeClr>
                </a:outerShdw>
              </a:effectLst>
            </a:rPr>
            <a:t>The business has strong opportunities to improve forecasting accuracy, optimize resource utilization, and stabilize recurring revenue through subscription-focused strategies. By combining forecast-driven planning with customer retention initiatives, the organization can support more sustainable growth and operational efficiency.</a:t>
          </a:r>
        </a:p>
        <a:p>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nesh mn" refreshedDate="46157.572608564813" createdVersion="8" refreshedVersion="8" minRefreshableVersion="3" recordCount="220" xr:uid="{7EE00741-E552-463B-AF11-E244EDDF46FC}">
  <cacheSource type="worksheet">
    <worksheetSource ref="B1:H221" sheet="Cleaned_Data"/>
  </cacheSource>
  <cacheFields count="10">
    <cacheField name="Date" numFmtId="14">
      <sharedItems containsSemiMixedTypes="0" containsNonDate="0" containsDate="1" containsString="0" minDate="2025-11-03T00:00:00" maxDate="2026-01-29T00:00:00" count="61">
        <d v="2025-11-03T00:00:00"/>
        <d v="2025-11-04T00:00:00"/>
        <d v="2025-11-05T00:00:00"/>
        <d v="2025-11-06T00:00:00"/>
        <d v="2025-11-07T00:00:00"/>
        <d v="2025-11-10T00:00:00"/>
        <d v="2025-11-11T00:00:00"/>
        <d v="2025-11-12T00:00:00"/>
        <d v="2025-11-13T00:00:00"/>
        <d v="2025-11-14T00:00:00"/>
        <d v="2025-11-17T00:00:00"/>
        <d v="2025-11-18T00:00:00"/>
        <d v="2025-11-19T00:00:00"/>
        <d v="2025-11-20T00:00:00"/>
        <d v="2025-11-21T00:00:00"/>
        <d v="2025-11-24T00:00:00"/>
        <d v="2025-11-25T00:00:00"/>
        <d v="2025-11-26T00:00:00"/>
        <d v="2025-11-27T00:00:00"/>
        <d v="2025-11-28T00:00:00"/>
        <d v="2025-12-01T00:00:00"/>
        <d v="2025-12-02T00:00:00"/>
        <d v="2025-12-03T00:00:00"/>
        <d v="2025-12-04T00:00:00"/>
        <d v="2025-12-05T00:00:00"/>
        <d v="2025-12-08T00:00:00"/>
        <d v="2025-12-09T00:00:00"/>
        <d v="2025-12-10T00:00:00"/>
        <d v="2025-12-11T00:00:00"/>
        <d v="2025-12-12T00:00:00"/>
        <d v="2025-12-15T00:00:00"/>
        <d v="2025-12-16T00:00:00"/>
        <d v="2025-12-17T00:00:00"/>
        <d v="2025-12-18T00:00:00"/>
        <d v="2025-12-19T00:00:00"/>
        <d v="2025-12-22T00:00:00"/>
        <d v="2025-12-23T00:00:00"/>
        <d v="2025-12-24T00:00:00"/>
        <d v="2025-12-29T00:00:00"/>
        <d v="2025-12-30T00:00:00"/>
        <d v="2025-12-31T00:00:00"/>
        <d v="2026-01-02T00:00:00"/>
        <d v="2026-01-05T00:00:00"/>
        <d v="2026-01-06T00:00:00"/>
        <d v="2026-01-07T00:00:00"/>
        <d v="2026-01-08T00:00:00"/>
        <d v="2026-01-09T00:00:00"/>
        <d v="2026-01-10T00:00:00"/>
        <d v="2026-01-12T00:00:00"/>
        <d v="2026-01-13T00:00:00"/>
        <d v="2026-01-14T00:00:00"/>
        <d v="2026-01-15T00:00:00"/>
        <d v="2026-01-19T00:00:00"/>
        <d v="2026-01-20T00:00:00"/>
        <d v="2026-01-21T00:00:00"/>
        <d v="2026-01-22T00:00:00"/>
        <d v="2026-01-23T00:00:00"/>
        <d v="2026-01-24T00:00:00"/>
        <d v="2026-01-26T00:00:00"/>
        <d v="2026-01-27T00:00:00"/>
        <d v="2026-01-28T00:00:00"/>
      </sharedItems>
      <fieldGroup par="9"/>
    </cacheField>
    <cacheField name="Month" numFmtId="14">
      <sharedItems count="3">
        <s v="Nov"/>
        <s v="Dec"/>
        <s v="Jan"/>
      </sharedItems>
    </cacheField>
    <cacheField name="Time" numFmtId="0">
      <sharedItems count="3">
        <s v="Morning"/>
        <s v="Afternoon"/>
        <s v="Night"/>
      </sharedItems>
    </cacheField>
    <cacheField name="Item" numFmtId="0">
      <sharedItems count="42">
        <s v="Idli"/>
        <s v="Veg Meals"/>
        <s v="Noodles"/>
        <s v="Chapati"/>
        <s v="Ven Pongal"/>
        <s v="Veg Rice"/>
        <s v="Egg Dosa"/>
        <s v="Variety Rice"/>
        <s v="Egg Kothu Chapati"/>
        <s v="Extra Vegetables"/>
        <s v="Plain Chapati"/>
        <s v="Sambar Rice"/>
        <s v="Extra Keerai"/>
        <s v="Rava Dosa"/>
        <s v="Dosa"/>
        <s v="Chicken Meals"/>
        <s v="Mini Idli"/>
        <s v="Extra Vadai"/>
        <s v="Veg Pulao"/>
        <s v="Extra Egg Gravy"/>
        <s v="Ragi Dosa"/>
        <s v="Egg Noodles"/>
        <s v="Mushroom Rice"/>
        <s v="Egg Omelette"/>
        <s v="Veg Biryani"/>
        <s v="Curd Rice"/>
        <s v="Onion Dosa"/>
        <s v="Plain Dosa"/>
        <s v="Mini Ghee Podi Idli"/>
        <s v="Veg Pongal"/>
        <s v="Variety Meals"/>
        <s v="Meals"/>
        <s v="Green Gram Dosa"/>
        <s v="Ghee Rice"/>
        <s v="Mushroom Biryani"/>
        <s v="Egg Chapati"/>
        <s v="Paneer Fried Rice"/>
        <s v="Fish Meals"/>
        <s v="Rice &amp; Dal"/>
        <s v="Cauliflower 65"/>
        <s v="Paneer Biryani"/>
        <s v="Chapati with Egg Gravy"/>
      </sharedItems>
    </cacheField>
    <cacheField name="Quantity" numFmtId="0">
      <sharedItems containsSemiMixedTypes="0" containsString="0" containsNumber="1" containsInteger="1" minValue="1" maxValue="24"/>
    </cacheField>
    <cacheField name="Amount per item" numFmtId="0">
      <sharedItems containsSemiMixedTypes="0" containsString="0" containsNumber="1" containsInteger="1" minValue="5" maxValue="250"/>
    </cacheField>
    <cacheField name="Total" numFmtId="166">
      <sharedItems containsSemiMixedTypes="0" containsString="0" containsNumber="1" containsInteger="1" minValue="15" maxValue="2000" count="59">
        <n v="192"/>
        <n v="540"/>
        <n v="120"/>
        <n v="40"/>
        <n v="200"/>
        <n v="210"/>
        <n v="100"/>
        <n v="340"/>
        <n v="300"/>
        <n v="270"/>
        <n v="30"/>
        <n v="60"/>
        <n v="168"/>
        <n v="20"/>
        <n v="150"/>
        <n v="320"/>
        <n v="1710"/>
        <n v="630"/>
        <n v="160"/>
        <n v="350"/>
        <n v="15"/>
        <n v="240"/>
        <n v="360"/>
        <n v="1800"/>
        <n v="420"/>
        <n v="45"/>
        <n v="80"/>
        <n v="136"/>
        <n v="280"/>
        <n v="250"/>
        <n v="176"/>
        <n v="2000"/>
        <n v="330"/>
        <n v="75"/>
        <n v="560"/>
        <n v="88"/>
        <n v="50"/>
        <n v="1140"/>
        <n v="144"/>
        <n v="450"/>
        <n v="500"/>
        <n v="140"/>
        <n v="260"/>
        <n v="1600"/>
        <n v="90"/>
        <n v="112"/>
        <n v="1000"/>
        <n v="56"/>
        <n v="48"/>
        <n v="660"/>
        <n v="70"/>
        <n v="180"/>
        <n v="220"/>
        <n v="520"/>
        <n v="1250"/>
        <n v="245"/>
        <n v="152"/>
        <n v="72"/>
        <n v="600"/>
      </sharedItems>
    </cacheField>
    <cacheField name="Months (Date)" numFmtId="0" databaseField="0">
      <fieldGroup base="0">
        <rangePr groupBy="months" startDate="2025-11-03T00:00:00" endDate="2026-01-29T00:00:00"/>
        <groupItems count="14">
          <s v="&lt;03-11-2025"/>
          <s v="Jan"/>
          <s v="Feb"/>
          <s v="Mar"/>
          <s v="Apr"/>
          <s v="May"/>
          <s v="Jun"/>
          <s v="Jul"/>
          <s v="Aug"/>
          <s v="Sep"/>
          <s v="Oct"/>
          <s v="Nov"/>
          <s v="Dec"/>
          <s v="&gt;29-01-2026"/>
        </groupItems>
      </fieldGroup>
    </cacheField>
    <cacheField name="Quarters (Date)" numFmtId="0" databaseField="0">
      <fieldGroup base="0">
        <rangePr groupBy="quarters" startDate="2025-11-03T00:00:00" endDate="2026-01-29T00:00:00"/>
        <groupItems count="6">
          <s v="&lt;03-11-2025"/>
          <s v="Qtr1"/>
          <s v="Qtr2"/>
          <s v="Qtr3"/>
          <s v="Qtr4"/>
          <s v="&gt;29-01-2026"/>
        </groupItems>
      </fieldGroup>
    </cacheField>
    <cacheField name="Years (Date)" numFmtId="0" databaseField="0">
      <fieldGroup base="0">
        <rangePr groupBy="years" startDate="2025-11-03T00:00:00" endDate="2026-01-29T00:00:00"/>
        <groupItems count="4">
          <s v="&lt;03-11-2025"/>
          <s v="2025"/>
          <s v="2026"/>
          <s v="&gt;29-01-2026"/>
        </groupItems>
      </fieldGroup>
    </cacheField>
  </cacheFields>
  <extLst>
    <ext xmlns:x14="http://schemas.microsoft.com/office/spreadsheetml/2009/9/main" uri="{725AE2AE-9491-48be-B2B4-4EB974FC3084}">
      <x14:pivotCacheDefinition pivotCacheId="10269413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nesh mn" refreshedDate="46170.032521643516" createdVersion="8" refreshedVersion="8" minRefreshableVersion="3" recordCount="220" xr:uid="{EBED289C-6AE1-4678-BD57-08E954CA9B97}">
  <cacheSource type="worksheet">
    <worksheetSource name="Table1"/>
  </cacheSource>
  <cacheFields count="7">
    <cacheField name="Date" numFmtId="14">
      <sharedItems containsSemiMixedTypes="0" containsNonDate="0" containsDate="1" containsString="0" minDate="2025-11-03T00:00:00" maxDate="2026-01-29T00:00:00"/>
    </cacheField>
    <cacheField name="Month" numFmtId="14">
      <sharedItems/>
    </cacheField>
    <cacheField name="Time" numFmtId="0">
      <sharedItems/>
    </cacheField>
    <cacheField name="Item" numFmtId="0">
      <sharedItems count="42">
        <s v="Idli"/>
        <s v="Veg Meals"/>
        <s v="Noodles"/>
        <s v="Chapati"/>
        <s v="Ven Pongal"/>
        <s v="Veg Rice"/>
        <s v="Egg Dosa"/>
        <s v="Variety Rice"/>
        <s v="Egg Kothu Chapati"/>
        <s v="Extra Vegetables"/>
        <s v="Plain Chapati"/>
        <s v="Sambar Rice"/>
        <s v="Extra Keerai"/>
        <s v="Rava Dosa"/>
        <s v="Dosa"/>
        <s v="Chicken Meals"/>
        <s v="Mini Idli"/>
        <s v="Extra Vadai"/>
        <s v="Veg Pulao"/>
        <s v="Extra Egg Gravy"/>
        <s v="Ragi Dosa"/>
        <s v="Egg Noodles"/>
        <s v="Mushroom Rice"/>
        <s v="Egg Omelette"/>
        <s v="Veg Biryani"/>
        <s v="Curd Rice"/>
        <s v="Onion Dosa"/>
        <s v="Plain Dosa"/>
        <s v="Mini Ghee Podi Idli"/>
        <s v="Veg Pongal"/>
        <s v="Variety Meals"/>
        <s v="Meals"/>
        <s v="Green Gram Dosa"/>
        <s v="Ghee Rice"/>
        <s v="Mushroom Biryani"/>
        <s v="Egg Chapati"/>
        <s v="Paneer Fried Rice"/>
        <s v="Fish Meals"/>
        <s v="Rice &amp; Dal"/>
        <s v="Cauliflower 65"/>
        <s v="Paneer Biryani"/>
        <s v="Chapati with Egg Gravy"/>
      </sharedItems>
    </cacheField>
    <cacheField name="Quantity" numFmtId="0">
      <sharedItems containsSemiMixedTypes="0" containsString="0" containsNumber="1" containsInteger="1" minValue="1" maxValue="24"/>
    </cacheField>
    <cacheField name="Amount per item" numFmtId="0">
      <sharedItems containsSemiMixedTypes="0" containsString="0" containsNumber="1" containsInteger="1" minValue="5" maxValue="250"/>
    </cacheField>
    <cacheField name="Total" numFmtId="166">
      <sharedItems containsSemiMixedTypes="0" containsString="0" containsNumber="1" containsInteger="1" minValue="15" maxValue="2000" count="59">
        <n v="192"/>
        <n v="540"/>
        <n v="120"/>
        <n v="40"/>
        <n v="200"/>
        <n v="210"/>
        <n v="100"/>
        <n v="340"/>
        <n v="300"/>
        <n v="270"/>
        <n v="30"/>
        <n v="60"/>
        <n v="168"/>
        <n v="20"/>
        <n v="150"/>
        <n v="320"/>
        <n v="1710"/>
        <n v="630"/>
        <n v="160"/>
        <n v="350"/>
        <n v="15"/>
        <n v="240"/>
        <n v="360"/>
        <n v="1800"/>
        <n v="420"/>
        <n v="45"/>
        <n v="80"/>
        <n v="136"/>
        <n v="280"/>
        <n v="250"/>
        <n v="176"/>
        <n v="2000"/>
        <n v="330"/>
        <n v="75"/>
        <n v="560"/>
        <n v="88"/>
        <n v="50"/>
        <n v="1140"/>
        <n v="144"/>
        <n v="450"/>
        <n v="500"/>
        <n v="140"/>
        <n v="260"/>
        <n v="1600"/>
        <n v="90"/>
        <n v="112"/>
        <n v="1000"/>
        <n v="56"/>
        <n v="48"/>
        <n v="660"/>
        <n v="70"/>
        <n v="180"/>
        <n v="220"/>
        <n v="520"/>
        <n v="1250"/>
        <n v="245"/>
        <n v="152"/>
        <n v="72"/>
        <n v="6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x v="0"/>
    <x v="0"/>
    <x v="0"/>
    <x v="0"/>
    <n v="24"/>
    <n v="8"/>
    <x v="0"/>
  </r>
  <r>
    <x v="0"/>
    <x v="0"/>
    <x v="1"/>
    <x v="1"/>
    <n v="6"/>
    <n v="90"/>
    <x v="1"/>
  </r>
  <r>
    <x v="0"/>
    <x v="0"/>
    <x v="2"/>
    <x v="2"/>
    <n v="3"/>
    <n v="40"/>
    <x v="2"/>
  </r>
  <r>
    <x v="0"/>
    <x v="0"/>
    <x v="2"/>
    <x v="3"/>
    <n v="2"/>
    <n v="20"/>
    <x v="3"/>
  </r>
  <r>
    <x v="1"/>
    <x v="0"/>
    <x v="0"/>
    <x v="4"/>
    <n v="5"/>
    <n v="40"/>
    <x v="4"/>
  </r>
  <r>
    <x v="1"/>
    <x v="0"/>
    <x v="1"/>
    <x v="5"/>
    <n v="6"/>
    <n v="90"/>
    <x v="1"/>
  </r>
  <r>
    <x v="1"/>
    <x v="0"/>
    <x v="2"/>
    <x v="6"/>
    <n v="7"/>
    <n v="30"/>
    <x v="5"/>
  </r>
  <r>
    <x v="1"/>
    <x v="0"/>
    <x v="2"/>
    <x v="3"/>
    <n v="5"/>
    <n v="20"/>
    <x v="6"/>
  </r>
  <r>
    <x v="2"/>
    <x v="0"/>
    <x v="0"/>
    <x v="3"/>
    <n v="17"/>
    <n v="20"/>
    <x v="7"/>
  </r>
  <r>
    <x v="2"/>
    <x v="0"/>
    <x v="1"/>
    <x v="7"/>
    <n v="6"/>
    <n v="50"/>
    <x v="8"/>
  </r>
  <r>
    <x v="2"/>
    <x v="0"/>
    <x v="2"/>
    <x v="8"/>
    <n v="9"/>
    <n v="30"/>
    <x v="9"/>
  </r>
  <r>
    <x v="2"/>
    <x v="0"/>
    <x v="2"/>
    <x v="9"/>
    <n v="2"/>
    <n v="15"/>
    <x v="10"/>
  </r>
  <r>
    <x v="2"/>
    <x v="0"/>
    <x v="2"/>
    <x v="10"/>
    <n v="3"/>
    <n v="20"/>
    <x v="11"/>
  </r>
  <r>
    <x v="3"/>
    <x v="0"/>
    <x v="0"/>
    <x v="0"/>
    <n v="21"/>
    <n v="8"/>
    <x v="12"/>
  </r>
  <r>
    <x v="3"/>
    <x v="0"/>
    <x v="1"/>
    <x v="11"/>
    <n v="6"/>
    <n v="50"/>
    <x v="8"/>
  </r>
  <r>
    <x v="3"/>
    <x v="0"/>
    <x v="1"/>
    <x v="12"/>
    <n v="2"/>
    <n v="10"/>
    <x v="13"/>
  </r>
  <r>
    <x v="3"/>
    <x v="0"/>
    <x v="2"/>
    <x v="13"/>
    <n v="6"/>
    <n v="25"/>
    <x v="14"/>
  </r>
  <r>
    <x v="3"/>
    <x v="0"/>
    <x v="2"/>
    <x v="3"/>
    <n v="2"/>
    <n v="20"/>
    <x v="3"/>
  </r>
  <r>
    <x v="4"/>
    <x v="0"/>
    <x v="0"/>
    <x v="14"/>
    <n v="16"/>
    <n v="20"/>
    <x v="15"/>
  </r>
  <r>
    <x v="4"/>
    <x v="0"/>
    <x v="1"/>
    <x v="15"/>
    <n v="9"/>
    <n v="190"/>
    <x v="16"/>
  </r>
  <r>
    <x v="4"/>
    <x v="0"/>
    <x v="2"/>
    <x v="6"/>
    <n v="4"/>
    <n v="30"/>
    <x v="2"/>
  </r>
  <r>
    <x v="4"/>
    <x v="0"/>
    <x v="2"/>
    <x v="3"/>
    <n v="2"/>
    <n v="20"/>
    <x v="3"/>
  </r>
  <r>
    <x v="5"/>
    <x v="0"/>
    <x v="0"/>
    <x v="3"/>
    <n v="17"/>
    <n v="20"/>
    <x v="7"/>
  </r>
  <r>
    <x v="5"/>
    <x v="0"/>
    <x v="1"/>
    <x v="1"/>
    <n v="7"/>
    <n v="90"/>
    <x v="17"/>
  </r>
  <r>
    <x v="5"/>
    <x v="0"/>
    <x v="2"/>
    <x v="16"/>
    <n v="4"/>
    <n v="40"/>
    <x v="18"/>
  </r>
  <r>
    <x v="5"/>
    <x v="0"/>
    <x v="2"/>
    <x v="3"/>
    <n v="3"/>
    <n v="20"/>
    <x v="11"/>
  </r>
  <r>
    <x v="5"/>
    <x v="0"/>
    <x v="2"/>
    <x v="2"/>
    <n v="1"/>
    <n v="40"/>
    <x v="3"/>
  </r>
  <r>
    <x v="5"/>
    <x v="0"/>
    <x v="2"/>
    <x v="6"/>
    <n v="1"/>
    <n v="30"/>
    <x v="10"/>
  </r>
  <r>
    <x v="6"/>
    <x v="0"/>
    <x v="0"/>
    <x v="0"/>
    <n v="24"/>
    <n v="8"/>
    <x v="0"/>
  </r>
  <r>
    <x v="6"/>
    <x v="0"/>
    <x v="1"/>
    <x v="7"/>
    <n v="7"/>
    <n v="50"/>
    <x v="19"/>
  </r>
  <r>
    <x v="6"/>
    <x v="0"/>
    <x v="2"/>
    <x v="8"/>
    <n v="4"/>
    <n v="50"/>
    <x v="4"/>
  </r>
  <r>
    <x v="6"/>
    <x v="0"/>
    <x v="2"/>
    <x v="3"/>
    <n v="6"/>
    <n v="20"/>
    <x v="2"/>
  </r>
  <r>
    <x v="7"/>
    <x v="0"/>
    <x v="0"/>
    <x v="4"/>
    <n v="5"/>
    <n v="40"/>
    <x v="4"/>
  </r>
  <r>
    <x v="7"/>
    <x v="0"/>
    <x v="0"/>
    <x v="17"/>
    <n v="3"/>
    <n v="5"/>
    <x v="20"/>
  </r>
  <r>
    <x v="7"/>
    <x v="0"/>
    <x v="1"/>
    <x v="18"/>
    <n v="7"/>
    <n v="50"/>
    <x v="19"/>
  </r>
  <r>
    <x v="7"/>
    <x v="0"/>
    <x v="1"/>
    <x v="19"/>
    <n v="10"/>
    <n v="10"/>
    <x v="6"/>
  </r>
  <r>
    <x v="7"/>
    <x v="0"/>
    <x v="2"/>
    <x v="6"/>
    <n v="8"/>
    <n v="30"/>
    <x v="21"/>
  </r>
  <r>
    <x v="8"/>
    <x v="0"/>
    <x v="0"/>
    <x v="3"/>
    <n v="18"/>
    <n v="20"/>
    <x v="22"/>
  </r>
  <r>
    <x v="8"/>
    <x v="0"/>
    <x v="1"/>
    <x v="15"/>
    <n v="9"/>
    <n v="200"/>
    <x v="23"/>
  </r>
  <r>
    <x v="8"/>
    <x v="0"/>
    <x v="2"/>
    <x v="16"/>
    <n v="4"/>
    <n v="40"/>
    <x v="18"/>
  </r>
  <r>
    <x v="8"/>
    <x v="0"/>
    <x v="2"/>
    <x v="6"/>
    <n v="1"/>
    <n v="30"/>
    <x v="10"/>
  </r>
  <r>
    <x v="9"/>
    <x v="0"/>
    <x v="0"/>
    <x v="6"/>
    <n v="14"/>
    <n v="30"/>
    <x v="24"/>
  </r>
  <r>
    <x v="9"/>
    <x v="0"/>
    <x v="1"/>
    <x v="7"/>
    <n v="7"/>
    <n v="50"/>
    <x v="19"/>
  </r>
  <r>
    <x v="9"/>
    <x v="0"/>
    <x v="1"/>
    <x v="9"/>
    <n v="3"/>
    <n v="15"/>
    <x v="25"/>
  </r>
  <r>
    <x v="9"/>
    <x v="0"/>
    <x v="2"/>
    <x v="2"/>
    <n v="2"/>
    <n v="40"/>
    <x v="26"/>
  </r>
  <r>
    <x v="9"/>
    <x v="0"/>
    <x v="2"/>
    <x v="20"/>
    <n v="3"/>
    <n v="20"/>
    <x v="11"/>
  </r>
  <r>
    <x v="10"/>
    <x v="0"/>
    <x v="0"/>
    <x v="0"/>
    <n v="17"/>
    <n v="8"/>
    <x v="27"/>
  </r>
  <r>
    <x v="10"/>
    <x v="0"/>
    <x v="1"/>
    <x v="1"/>
    <n v="6"/>
    <n v="90"/>
    <x v="1"/>
  </r>
  <r>
    <x v="11"/>
    <x v="0"/>
    <x v="0"/>
    <x v="4"/>
    <n v="4"/>
    <n v="40"/>
    <x v="18"/>
  </r>
  <r>
    <x v="11"/>
    <x v="0"/>
    <x v="1"/>
    <x v="7"/>
    <n v="7"/>
    <n v="50"/>
    <x v="19"/>
  </r>
  <r>
    <x v="11"/>
    <x v="0"/>
    <x v="2"/>
    <x v="21"/>
    <n v="2"/>
    <n v="50"/>
    <x v="6"/>
  </r>
  <r>
    <x v="11"/>
    <x v="0"/>
    <x v="2"/>
    <x v="6"/>
    <n v="4"/>
    <n v="30"/>
    <x v="2"/>
  </r>
  <r>
    <x v="12"/>
    <x v="0"/>
    <x v="0"/>
    <x v="14"/>
    <n v="14"/>
    <n v="20"/>
    <x v="28"/>
  </r>
  <r>
    <x v="12"/>
    <x v="0"/>
    <x v="1"/>
    <x v="22"/>
    <n v="7"/>
    <n v="60"/>
    <x v="24"/>
  </r>
  <r>
    <x v="12"/>
    <x v="0"/>
    <x v="2"/>
    <x v="8"/>
    <n v="5"/>
    <n v="50"/>
    <x v="29"/>
  </r>
  <r>
    <x v="13"/>
    <x v="0"/>
    <x v="0"/>
    <x v="0"/>
    <n v="22"/>
    <n v="8"/>
    <x v="30"/>
  </r>
  <r>
    <x v="13"/>
    <x v="0"/>
    <x v="1"/>
    <x v="15"/>
    <n v="10"/>
    <n v="200"/>
    <x v="31"/>
  </r>
  <r>
    <x v="13"/>
    <x v="0"/>
    <x v="2"/>
    <x v="6"/>
    <n v="11"/>
    <n v="30"/>
    <x v="32"/>
  </r>
  <r>
    <x v="13"/>
    <x v="0"/>
    <x v="2"/>
    <x v="23"/>
    <n v="5"/>
    <n v="15"/>
    <x v="33"/>
  </r>
  <r>
    <x v="14"/>
    <x v="0"/>
    <x v="0"/>
    <x v="14"/>
    <n v="12"/>
    <n v="20"/>
    <x v="21"/>
  </r>
  <r>
    <x v="14"/>
    <x v="0"/>
    <x v="1"/>
    <x v="24"/>
    <n v="7"/>
    <n v="80"/>
    <x v="34"/>
  </r>
  <r>
    <x v="14"/>
    <x v="0"/>
    <x v="2"/>
    <x v="14"/>
    <n v="5"/>
    <n v="20"/>
    <x v="6"/>
  </r>
  <r>
    <x v="14"/>
    <x v="0"/>
    <x v="2"/>
    <x v="3"/>
    <n v="8"/>
    <n v="20"/>
    <x v="18"/>
  </r>
  <r>
    <x v="15"/>
    <x v="0"/>
    <x v="0"/>
    <x v="0"/>
    <n v="15"/>
    <n v="8"/>
    <x v="2"/>
  </r>
  <r>
    <x v="15"/>
    <x v="0"/>
    <x v="0"/>
    <x v="1"/>
    <n v="4"/>
    <n v="90"/>
    <x v="22"/>
  </r>
  <r>
    <x v="15"/>
    <x v="0"/>
    <x v="1"/>
    <x v="3"/>
    <n v="5"/>
    <n v="20"/>
    <x v="6"/>
  </r>
  <r>
    <x v="15"/>
    <x v="0"/>
    <x v="2"/>
    <x v="9"/>
    <n v="2"/>
    <n v="30"/>
    <x v="11"/>
  </r>
  <r>
    <x v="16"/>
    <x v="0"/>
    <x v="0"/>
    <x v="3"/>
    <n v="12"/>
    <n v="20"/>
    <x v="21"/>
  </r>
  <r>
    <x v="16"/>
    <x v="0"/>
    <x v="1"/>
    <x v="7"/>
    <n v="5"/>
    <n v="50"/>
    <x v="29"/>
  </r>
  <r>
    <x v="16"/>
    <x v="0"/>
    <x v="2"/>
    <x v="14"/>
    <n v="5"/>
    <n v="20"/>
    <x v="6"/>
  </r>
  <r>
    <x v="17"/>
    <x v="0"/>
    <x v="0"/>
    <x v="14"/>
    <n v="10"/>
    <n v="20"/>
    <x v="4"/>
  </r>
  <r>
    <x v="17"/>
    <x v="0"/>
    <x v="1"/>
    <x v="22"/>
    <n v="5"/>
    <n v="60"/>
    <x v="8"/>
  </r>
  <r>
    <x v="18"/>
    <x v="0"/>
    <x v="0"/>
    <x v="0"/>
    <n v="11"/>
    <n v="8"/>
    <x v="35"/>
  </r>
  <r>
    <x v="18"/>
    <x v="0"/>
    <x v="1"/>
    <x v="11"/>
    <n v="3"/>
    <n v="50"/>
    <x v="14"/>
  </r>
  <r>
    <x v="18"/>
    <x v="0"/>
    <x v="1"/>
    <x v="25"/>
    <n v="1"/>
    <n v="50"/>
    <x v="36"/>
  </r>
  <r>
    <x v="18"/>
    <x v="0"/>
    <x v="2"/>
    <x v="3"/>
    <n v="6"/>
    <n v="20"/>
    <x v="2"/>
  </r>
  <r>
    <x v="19"/>
    <x v="0"/>
    <x v="0"/>
    <x v="6"/>
    <n v="10"/>
    <n v="30"/>
    <x v="8"/>
  </r>
  <r>
    <x v="19"/>
    <x v="0"/>
    <x v="1"/>
    <x v="15"/>
    <n v="6"/>
    <n v="190"/>
    <x v="37"/>
  </r>
  <r>
    <x v="19"/>
    <x v="0"/>
    <x v="2"/>
    <x v="3"/>
    <n v="5"/>
    <n v="20"/>
    <x v="6"/>
  </r>
  <r>
    <x v="20"/>
    <x v="1"/>
    <x v="0"/>
    <x v="0"/>
    <n v="18"/>
    <n v="8"/>
    <x v="38"/>
  </r>
  <r>
    <x v="20"/>
    <x v="1"/>
    <x v="1"/>
    <x v="1"/>
    <n v="5"/>
    <n v="90"/>
    <x v="39"/>
  </r>
  <r>
    <x v="20"/>
    <x v="1"/>
    <x v="2"/>
    <x v="3"/>
    <n v="3"/>
    <n v="20"/>
    <x v="11"/>
  </r>
  <r>
    <x v="21"/>
    <x v="1"/>
    <x v="0"/>
    <x v="14"/>
    <n v="12"/>
    <n v="20"/>
    <x v="21"/>
  </r>
  <r>
    <x v="21"/>
    <x v="1"/>
    <x v="1"/>
    <x v="24"/>
    <n v="5"/>
    <n v="100"/>
    <x v="40"/>
  </r>
  <r>
    <x v="21"/>
    <x v="1"/>
    <x v="1"/>
    <x v="19"/>
    <n v="7"/>
    <n v="20"/>
    <x v="41"/>
  </r>
  <r>
    <x v="21"/>
    <x v="1"/>
    <x v="2"/>
    <x v="3"/>
    <n v="3"/>
    <n v="20"/>
    <x v="11"/>
  </r>
  <r>
    <x v="21"/>
    <x v="1"/>
    <x v="2"/>
    <x v="6"/>
    <n v="2"/>
    <n v="30"/>
    <x v="11"/>
  </r>
  <r>
    <x v="22"/>
    <x v="1"/>
    <x v="0"/>
    <x v="3"/>
    <n v="13"/>
    <n v="20"/>
    <x v="42"/>
  </r>
  <r>
    <x v="22"/>
    <x v="1"/>
    <x v="1"/>
    <x v="7"/>
    <n v="5"/>
    <n v="50"/>
    <x v="29"/>
  </r>
  <r>
    <x v="22"/>
    <x v="1"/>
    <x v="2"/>
    <x v="3"/>
    <n v="5"/>
    <n v="20"/>
    <x v="6"/>
  </r>
  <r>
    <x v="23"/>
    <x v="1"/>
    <x v="0"/>
    <x v="0"/>
    <n v="20"/>
    <n v="8"/>
    <x v="18"/>
  </r>
  <r>
    <x v="23"/>
    <x v="1"/>
    <x v="1"/>
    <x v="15"/>
    <n v="8"/>
    <n v="200"/>
    <x v="43"/>
  </r>
  <r>
    <x v="23"/>
    <x v="1"/>
    <x v="2"/>
    <x v="6"/>
    <n v="3"/>
    <n v="30"/>
    <x v="44"/>
  </r>
  <r>
    <x v="23"/>
    <x v="1"/>
    <x v="2"/>
    <x v="26"/>
    <n v="2"/>
    <n v="25"/>
    <x v="36"/>
  </r>
  <r>
    <x v="24"/>
    <x v="1"/>
    <x v="0"/>
    <x v="14"/>
    <n v="14"/>
    <n v="20"/>
    <x v="28"/>
  </r>
  <r>
    <x v="24"/>
    <x v="1"/>
    <x v="1"/>
    <x v="11"/>
    <n v="5"/>
    <n v="50"/>
    <x v="29"/>
  </r>
  <r>
    <x v="24"/>
    <x v="1"/>
    <x v="2"/>
    <x v="6"/>
    <n v="5"/>
    <n v="30"/>
    <x v="14"/>
  </r>
  <r>
    <x v="24"/>
    <x v="1"/>
    <x v="2"/>
    <x v="27"/>
    <n v="2"/>
    <n v="20"/>
    <x v="3"/>
  </r>
  <r>
    <x v="25"/>
    <x v="1"/>
    <x v="0"/>
    <x v="14"/>
    <n v="14"/>
    <n v="20"/>
    <x v="28"/>
  </r>
  <r>
    <x v="25"/>
    <x v="1"/>
    <x v="1"/>
    <x v="1"/>
    <n v="6"/>
    <n v="90"/>
    <x v="1"/>
  </r>
  <r>
    <x v="25"/>
    <x v="1"/>
    <x v="2"/>
    <x v="3"/>
    <n v="6"/>
    <n v="20"/>
    <x v="2"/>
  </r>
  <r>
    <x v="26"/>
    <x v="1"/>
    <x v="0"/>
    <x v="0"/>
    <n v="24"/>
    <n v="8"/>
    <x v="0"/>
  </r>
  <r>
    <x v="26"/>
    <x v="1"/>
    <x v="1"/>
    <x v="7"/>
    <n v="6"/>
    <n v="60"/>
    <x v="22"/>
  </r>
  <r>
    <x v="26"/>
    <x v="1"/>
    <x v="2"/>
    <x v="28"/>
    <n v="3"/>
    <n v="50"/>
    <x v="14"/>
  </r>
  <r>
    <x v="26"/>
    <x v="1"/>
    <x v="2"/>
    <x v="3"/>
    <n v="3"/>
    <n v="20"/>
    <x v="11"/>
  </r>
  <r>
    <x v="27"/>
    <x v="1"/>
    <x v="0"/>
    <x v="28"/>
    <n v="5"/>
    <n v="50"/>
    <x v="29"/>
  </r>
  <r>
    <x v="27"/>
    <x v="1"/>
    <x v="1"/>
    <x v="1"/>
    <n v="5"/>
    <n v="90"/>
    <x v="39"/>
  </r>
  <r>
    <x v="27"/>
    <x v="1"/>
    <x v="2"/>
    <x v="6"/>
    <n v="4"/>
    <n v="30"/>
    <x v="2"/>
  </r>
  <r>
    <x v="27"/>
    <x v="1"/>
    <x v="2"/>
    <x v="3"/>
    <n v="3"/>
    <n v="20"/>
    <x v="11"/>
  </r>
  <r>
    <x v="28"/>
    <x v="1"/>
    <x v="0"/>
    <x v="29"/>
    <n v="5"/>
    <n v="40"/>
    <x v="4"/>
  </r>
  <r>
    <x v="28"/>
    <x v="1"/>
    <x v="1"/>
    <x v="15"/>
    <n v="8"/>
    <n v="200"/>
    <x v="43"/>
  </r>
  <r>
    <x v="28"/>
    <x v="1"/>
    <x v="2"/>
    <x v="17"/>
    <n v="3"/>
    <n v="5"/>
    <x v="20"/>
  </r>
  <r>
    <x v="29"/>
    <x v="1"/>
    <x v="0"/>
    <x v="14"/>
    <n v="13"/>
    <n v="20"/>
    <x v="42"/>
  </r>
  <r>
    <x v="29"/>
    <x v="1"/>
    <x v="1"/>
    <x v="11"/>
    <n v="5"/>
    <n v="60"/>
    <x v="8"/>
  </r>
  <r>
    <x v="29"/>
    <x v="1"/>
    <x v="2"/>
    <x v="8"/>
    <n v="2"/>
    <n v="60"/>
    <x v="2"/>
  </r>
  <r>
    <x v="29"/>
    <x v="1"/>
    <x v="2"/>
    <x v="10"/>
    <n v="3"/>
    <n v="20"/>
    <x v="11"/>
  </r>
  <r>
    <x v="30"/>
    <x v="1"/>
    <x v="0"/>
    <x v="14"/>
    <n v="12"/>
    <n v="20"/>
    <x v="21"/>
  </r>
  <r>
    <x v="30"/>
    <x v="1"/>
    <x v="1"/>
    <x v="1"/>
    <n v="6"/>
    <n v="90"/>
    <x v="1"/>
  </r>
  <r>
    <x v="30"/>
    <x v="1"/>
    <x v="1"/>
    <x v="9"/>
    <n v="2"/>
    <n v="30"/>
    <x v="11"/>
  </r>
  <r>
    <x v="30"/>
    <x v="1"/>
    <x v="2"/>
    <x v="8"/>
    <n v="3"/>
    <n v="50"/>
    <x v="14"/>
  </r>
  <r>
    <x v="30"/>
    <x v="1"/>
    <x v="2"/>
    <x v="10"/>
    <n v="2"/>
    <n v="20"/>
    <x v="3"/>
  </r>
  <r>
    <x v="31"/>
    <x v="1"/>
    <x v="0"/>
    <x v="3"/>
    <n v="12"/>
    <n v="20"/>
    <x v="21"/>
  </r>
  <r>
    <x v="31"/>
    <x v="1"/>
    <x v="1"/>
    <x v="30"/>
    <n v="6"/>
    <n v="50"/>
    <x v="8"/>
  </r>
  <r>
    <x v="31"/>
    <x v="1"/>
    <x v="1"/>
    <x v="12"/>
    <n v="6"/>
    <n v="10"/>
    <x v="11"/>
  </r>
  <r>
    <x v="31"/>
    <x v="1"/>
    <x v="2"/>
    <x v="3"/>
    <n v="2"/>
    <n v="20"/>
    <x v="3"/>
  </r>
  <r>
    <x v="31"/>
    <x v="1"/>
    <x v="2"/>
    <x v="6"/>
    <n v="4"/>
    <n v="30"/>
    <x v="2"/>
  </r>
  <r>
    <x v="32"/>
    <x v="1"/>
    <x v="0"/>
    <x v="0"/>
    <n v="14"/>
    <n v="8"/>
    <x v="45"/>
  </r>
  <r>
    <x v="32"/>
    <x v="1"/>
    <x v="0"/>
    <x v="14"/>
    <n v="2"/>
    <n v="20"/>
    <x v="3"/>
  </r>
  <r>
    <x v="32"/>
    <x v="1"/>
    <x v="1"/>
    <x v="31"/>
    <n v="4"/>
    <n v="90"/>
    <x v="22"/>
  </r>
  <r>
    <x v="32"/>
    <x v="1"/>
    <x v="2"/>
    <x v="3"/>
    <n v="6"/>
    <n v="20"/>
    <x v="2"/>
  </r>
  <r>
    <x v="33"/>
    <x v="1"/>
    <x v="0"/>
    <x v="20"/>
    <n v="8"/>
    <n v="20"/>
    <x v="18"/>
  </r>
  <r>
    <x v="33"/>
    <x v="1"/>
    <x v="1"/>
    <x v="15"/>
    <n v="5"/>
    <n v="200"/>
    <x v="46"/>
  </r>
  <r>
    <x v="33"/>
    <x v="1"/>
    <x v="2"/>
    <x v="3"/>
    <n v="5"/>
    <n v="20"/>
    <x v="6"/>
  </r>
  <r>
    <x v="33"/>
    <x v="1"/>
    <x v="2"/>
    <x v="14"/>
    <n v="2"/>
    <n v="20"/>
    <x v="3"/>
  </r>
  <r>
    <x v="34"/>
    <x v="1"/>
    <x v="0"/>
    <x v="3"/>
    <n v="12"/>
    <n v="20"/>
    <x v="21"/>
  </r>
  <r>
    <x v="34"/>
    <x v="1"/>
    <x v="1"/>
    <x v="22"/>
    <n v="4"/>
    <n v="80"/>
    <x v="15"/>
  </r>
  <r>
    <x v="34"/>
    <x v="1"/>
    <x v="1"/>
    <x v="23"/>
    <n v="3"/>
    <n v="15"/>
    <x v="25"/>
  </r>
  <r>
    <x v="34"/>
    <x v="1"/>
    <x v="2"/>
    <x v="6"/>
    <n v="5"/>
    <n v="30"/>
    <x v="14"/>
  </r>
  <r>
    <x v="35"/>
    <x v="1"/>
    <x v="0"/>
    <x v="3"/>
    <n v="12"/>
    <n v="20"/>
    <x v="21"/>
  </r>
  <r>
    <x v="35"/>
    <x v="1"/>
    <x v="1"/>
    <x v="31"/>
    <n v="4"/>
    <n v="90"/>
    <x v="22"/>
  </r>
  <r>
    <x v="35"/>
    <x v="1"/>
    <x v="1"/>
    <x v="9"/>
    <n v="2"/>
    <n v="30"/>
    <x v="11"/>
  </r>
  <r>
    <x v="35"/>
    <x v="1"/>
    <x v="2"/>
    <x v="0"/>
    <n v="7"/>
    <n v="8"/>
    <x v="47"/>
  </r>
  <r>
    <x v="35"/>
    <x v="1"/>
    <x v="2"/>
    <x v="3"/>
    <n v="3"/>
    <n v="20"/>
    <x v="11"/>
  </r>
  <r>
    <x v="36"/>
    <x v="1"/>
    <x v="0"/>
    <x v="32"/>
    <n v="6"/>
    <n v="25"/>
    <x v="14"/>
  </r>
  <r>
    <x v="36"/>
    <x v="1"/>
    <x v="0"/>
    <x v="14"/>
    <n v="6"/>
    <n v="20"/>
    <x v="2"/>
  </r>
  <r>
    <x v="36"/>
    <x v="1"/>
    <x v="1"/>
    <x v="33"/>
    <n v="5"/>
    <n v="100"/>
    <x v="40"/>
  </r>
  <r>
    <x v="36"/>
    <x v="1"/>
    <x v="1"/>
    <x v="23"/>
    <n v="2"/>
    <n v="15"/>
    <x v="10"/>
  </r>
  <r>
    <x v="36"/>
    <x v="1"/>
    <x v="2"/>
    <x v="3"/>
    <n v="3"/>
    <n v="20"/>
    <x v="11"/>
  </r>
  <r>
    <x v="36"/>
    <x v="1"/>
    <x v="2"/>
    <x v="6"/>
    <n v="4"/>
    <n v="30"/>
    <x v="2"/>
  </r>
  <r>
    <x v="37"/>
    <x v="1"/>
    <x v="2"/>
    <x v="14"/>
    <n v="12"/>
    <n v="20"/>
    <x v="21"/>
  </r>
  <r>
    <x v="38"/>
    <x v="1"/>
    <x v="0"/>
    <x v="14"/>
    <n v="12"/>
    <n v="20"/>
    <x v="21"/>
  </r>
  <r>
    <x v="38"/>
    <x v="1"/>
    <x v="1"/>
    <x v="31"/>
    <n v="5"/>
    <n v="90"/>
    <x v="39"/>
  </r>
  <r>
    <x v="38"/>
    <x v="1"/>
    <x v="1"/>
    <x v="9"/>
    <n v="3"/>
    <n v="30"/>
    <x v="44"/>
  </r>
  <r>
    <x v="38"/>
    <x v="1"/>
    <x v="2"/>
    <x v="6"/>
    <n v="2"/>
    <n v="30"/>
    <x v="11"/>
  </r>
  <r>
    <x v="38"/>
    <x v="1"/>
    <x v="2"/>
    <x v="3"/>
    <n v="5"/>
    <n v="20"/>
    <x v="6"/>
  </r>
  <r>
    <x v="39"/>
    <x v="1"/>
    <x v="0"/>
    <x v="3"/>
    <n v="12"/>
    <n v="20"/>
    <x v="21"/>
  </r>
  <r>
    <x v="39"/>
    <x v="1"/>
    <x v="1"/>
    <x v="11"/>
    <n v="5"/>
    <n v="60"/>
    <x v="8"/>
  </r>
  <r>
    <x v="39"/>
    <x v="1"/>
    <x v="2"/>
    <x v="3"/>
    <n v="3"/>
    <n v="20"/>
    <x v="11"/>
  </r>
  <r>
    <x v="39"/>
    <x v="1"/>
    <x v="2"/>
    <x v="0"/>
    <n v="6"/>
    <n v="8"/>
    <x v="48"/>
  </r>
  <r>
    <x v="40"/>
    <x v="1"/>
    <x v="0"/>
    <x v="32"/>
    <n v="6"/>
    <n v="25"/>
    <x v="14"/>
  </r>
  <r>
    <x v="40"/>
    <x v="1"/>
    <x v="0"/>
    <x v="14"/>
    <n v="6"/>
    <n v="20"/>
    <x v="2"/>
  </r>
  <r>
    <x v="40"/>
    <x v="1"/>
    <x v="1"/>
    <x v="34"/>
    <n v="6"/>
    <n v="110"/>
    <x v="49"/>
  </r>
  <r>
    <x v="41"/>
    <x v="2"/>
    <x v="0"/>
    <x v="20"/>
    <n v="6"/>
    <n v="25"/>
    <x v="14"/>
  </r>
  <r>
    <x v="41"/>
    <x v="2"/>
    <x v="0"/>
    <x v="27"/>
    <n v="6"/>
    <n v="20"/>
    <x v="2"/>
  </r>
  <r>
    <x v="41"/>
    <x v="2"/>
    <x v="1"/>
    <x v="1"/>
    <n v="5"/>
    <n v="90"/>
    <x v="39"/>
  </r>
  <r>
    <x v="41"/>
    <x v="2"/>
    <x v="1"/>
    <x v="9"/>
    <n v="2"/>
    <n v="30"/>
    <x v="11"/>
  </r>
  <r>
    <x v="41"/>
    <x v="2"/>
    <x v="2"/>
    <x v="27"/>
    <n v="2"/>
    <n v="20"/>
    <x v="3"/>
  </r>
  <r>
    <x v="41"/>
    <x v="2"/>
    <x v="2"/>
    <x v="6"/>
    <n v="2"/>
    <n v="35"/>
    <x v="50"/>
  </r>
  <r>
    <x v="41"/>
    <x v="2"/>
    <x v="2"/>
    <x v="3"/>
    <n v="3"/>
    <n v="25"/>
    <x v="33"/>
  </r>
  <r>
    <x v="42"/>
    <x v="2"/>
    <x v="0"/>
    <x v="0"/>
    <n v="20"/>
    <n v="8"/>
    <x v="18"/>
  </r>
  <r>
    <x v="42"/>
    <x v="2"/>
    <x v="1"/>
    <x v="1"/>
    <n v="5"/>
    <n v="90"/>
    <x v="39"/>
  </r>
  <r>
    <x v="42"/>
    <x v="2"/>
    <x v="1"/>
    <x v="9"/>
    <n v="2"/>
    <n v="30"/>
    <x v="11"/>
  </r>
  <r>
    <x v="42"/>
    <x v="2"/>
    <x v="2"/>
    <x v="35"/>
    <n v="6"/>
    <n v="30"/>
    <x v="51"/>
  </r>
  <r>
    <x v="42"/>
    <x v="2"/>
    <x v="2"/>
    <x v="3"/>
    <n v="1"/>
    <n v="20"/>
    <x v="13"/>
  </r>
  <r>
    <x v="43"/>
    <x v="2"/>
    <x v="0"/>
    <x v="27"/>
    <n v="11"/>
    <n v="20"/>
    <x v="52"/>
  </r>
  <r>
    <x v="43"/>
    <x v="2"/>
    <x v="1"/>
    <x v="36"/>
    <n v="4"/>
    <n v="130"/>
    <x v="53"/>
  </r>
  <r>
    <x v="43"/>
    <x v="2"/>
    <x v="2"/>
    <x v="3"/>
    <n v="4"/>
    <n v="20"/>
    <x v="26"/>
  </r>
  <r>
    <x v="44"/>
    <x v="2"/>
    <x v="0"/>
    <x v="3"/>
    <n v="10"/>
    <n v="20"/>
    <x v="4"/>
  </r>
  <r>
    <x v="44"/>
    <x v="2"/>
    <x v="1"/>
    <x v="37"/>
    <n v="5"/>
    <n v="250"/>
    <x v="54"/>
  </r>
  <r>
    <x v="44"/>
    <x v="2"/>
    <x v="2"/>
    <x v="3"/>
    <n v="4"/>
    <n v="20"/>
    <x v="26"/>
  </r>
  <r>
    <x v="45"/>
    <x v="2"/>
    <x v="0"/>
    <x v="6"/>
    <n v="7"/>
    <n v="35"/>
    <x v="55"/>
  </r>
  <r>
    <x v="45"/>
    <x v="2"/>
    <x v="1"/>
    <x v="38"/>
    <n v="1"/>
    <n v="40"/>
    <x v="3"/>
  </r>
  <r>
    <x v="45"/>
    <x v="2"/>
    <x v="1"/>
    <x v="34"/>
    <n v="2"/>
    <n v="80"/>
    <x v="18"/>
  </r>
  <r>
    <x v="45"/>
    <x v="2"/>
    <x v="2"/>
    <x v="3"/>
    <n v="2"/>
    <n v="20"/>
    <x v="3"/>
  </r>
  <r>
    <x v="46"/>
    <x v="2"/>
    <x v="0"/>
    <x v="3"/>
    <n v="12"/>
    <n v="20"/>
    <x v="21"/>
  </r>
  <r>
    <x v="46"/>
    <x v="2"/>
    <x v="1"/>
    <x v="24"/>
    <n v="4"/>
    <n v="80"/>
    <x v="15"/>
  </r>
  <r>
    <x v="46"/>
    <x v="2"/>
    <x v="1"/>
    <x v="38"/>
    <n v="1"/>
    <n v="40"/>
    <x v="3"/>
  </r>
  <r>
    <x v="47"/>
    <x v="2"/>
    <x v="0"/>
    <x v="4"/>
    <n v="5"/>
    <n v="40"/>
    <x v="4"/>
  </r>
  <r>
    <x v="47"/>
    <x v="2"/>
    <x v="0"/>
    <x v="27"/>
    <n v="4"/>
    <n v="20"/>
    <x v="26"/>
  </r>
  <r>
    <x v="47"/>
    <x v="2"/>
    <x v="1"/>
    <x v="18"/>
    <n v="3"/>
    <n v="80"/>
    <x v="21"/>
  </r>
  <r>
    <x v="47"/>
    <x v="2"/>
    <x v="1"/>
    <x v="39"/>
    <n v="5"/>
    <n v="30"/>
    <x v="14"/>
  </r>
  <r>
    <x v="48"/>
    <x v="2"/>
    <x v="0"/>
    <x v="20"/>
    <n v="6"/>
    <n v="25"/>
    <x v="14"/>
  </r>
  <r>
    <x v="48"/>
    <x v="2"/>
    <x v="0"/>
    <x v="27"/>
    <n v="6"/>
    <n v="20"/>
    <x v="2"/>
  </r>
  <r>
    <x v="48"/>
    <x v="2"/>
    <x v="1"/>
    <x v="1"/>
    <n v="5"/>
    <n v="90"/>
    <x v="39"/>
  </r>
  <r>
    <x v="48"/>
    <x v="2"/>
    <x v="1"/>
    <x v="9"/>
    <n v="3"/>
    <n v="30"/>
    <x v="44"/>
  </r>
  <r>
    <x v="48"/>
    <x v="2"/>
    <x v="2"/>
    <x v="3"/>
    <n v="7"/>
    <n v="20"/>
    <x v="41"/>
  </r>
  <r>
    <x v="49"/>
    <x v="2"/>
    <x v="0"/>
    <x v="0"/>
    <n v="19"/>
    <n v="8"/>
    <x v="56"/>
  </r>
  <r>
    <x v="49"/>
    <x v="2"/>
    <x v="1"/>
    <x v="40"/>
    <n v="4"/>
    <n v="130"/>
    <x v="53"/>
  </r>
  <r>
    <x v="50"/>
    <x v="2"/>
    <x v="0"/>
    <x v="27"/>
    <n v="12"/>
    <n v="20"/>
    <x v="21"/>
  </r>
  <r>
    <x v="50"/>
    <x v="2"/>
    <x v="1"/>
    <x v="1"/>
    <n v="4"/>
    <n v="90"/>
    <x v="22"/>
  </r>
  <r>
    <x v="50"/>
    <x v="2"/>
    <x v="1"/>
    <x v="9"/>
    <n v="3"/>
    <n v="30"/>
    <x v="44"/>
  </r>
  <r>
    <x v="51"/>
    <x v="2"/>
    <x v="0"/>
    <x v="27"/>
    <n v="6"/>
    <n v="20"/>
    <x v="2"/>
  </r>
  <r>
    <x v="51"/>
    <x v="2"/>
    <x v="1"/>
    <x v="1"/>
    <n v="3"/>
    <n v="90"/>
    <x v="9"/>
  </r>
  <r>
    <x v="52"/>
    <x v="2"/>
    <x v="0"/>
    <x v="27"/>
    <n v="6"/>
    <n v="20"/>
    <x v="2"/>
  </r>
  <r>
    <x v="52"/>
    <x v="2"/>
    <x v="1"/>
    <x v="1"/>
    <n v="3"/>
    <n v="90"/>
    <x v="9"/>
  </r>
  <r>
    <x v="52"/>
    <x v="2"/>
    <x v="2"/>
    <x v="8"/>
    <n v="1"/>
    <n v="70"/>
    <x v="50"/>
  </r>
  <r>
    <x v="53"/>
    <x v="2"/>
    <x v="0"/>
    <x v="0"/>
    <n v="9"/>
    <n v="8"/>
    <x v="57"/>
  </r>
  <r>
    <x v="53"/>
    <x v="2"/>
    <x v="1"/>
    <x v="34"/>
    <n v="2"/>
    <n v="80"/>
    <x v="18"/>
  </r>
  <r>
    <x v="53"/>
    <x v="2"/>
    <x v="1"/>
    <x v="38"/>
    <n v="1"/>
    <n v="40"/>
    <x v="3"/>
  </r>
  <r>
    <x v="53"/>
    <x v="2"/>
    <x v="2"/>
    <x v="3"/>
    <n v="2"/>
    <n v="25"/>
    <x v="36"/>
  </r>
  <r>
    <x v="54"/>
    <x v="2"/>
    <x v="0"/>
    <x v="27"/>
    <n v="8"/>
    <n v="20"/>
    <x v="18"/>
  </r>
  <r>
    <x v="54"/>
    <x v="2"/>
    <x v="1"/>
    <x v="7"/>
    <n v="3"/>
    <n v="50"/>
    <x v="14"/>
  </r>
  <r>
    <x v="55"/>
    <x v="2"/>
    <x v="1"/>
    <x v="15"/>
    <n v="3"/>
    <n v="200"/>
    <x v="58"/>
  </r>
  <r>
    <x v="55"/>
    <x v="2"/>
    <x v="2"/>
    <x v="3"/>
    <n v="2"/>
    <n v="25"/>
    <x v="36"/>
  </r>
  <r>
    <x v="56"/>
    <x v="2"/>
    <x v="1"/>
    <x v="1"/>
    <n v="2"/>
    <n v="90"/>
    <x v="51"/>
  </r>
  <r>
    <x v="57"/>
    <x v="2"/>
    <x v="2"/>
    <x v="3"/>
    <n v="3"/>
    <n v="25"/>
    <x v="33"/>
  </r>
  <r>
    <x v="58"/>
    <x v="2"/>
    <x v="2"/>
    <x v="3"/>
    <n v="2"/>
    <n v="25"/>
    <x v="36"/>
  </r>
  <r>
    <x v="59"/>
    <x v="2"/>
    <x v="1"/>
    <x v="25"/>
    <n v="2"/>
    <n v="60"/>
    <x v="2"/>
  </r>
  <r>
    <x v="60"/>
    <x v="2"/>
    <x v="1"/>
    <x v="1"/>
    <n v="2"/>
    <n v="90"/>
    <x v="51"/>
  </r>
  <r>
    <x v="60"/>
    <x v="2"/>
    <x v="2"/>
    <x v="41"/>
    <n v="2"/>
    <n v="40"/>
    <x v="2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d v="2025-11-03T00:00:00"/>
    <s v="Nov"/>
    <s v="Morning"/>
    <x v="0"/>
    <n v="24"/>
    <n v="8"/>
    <x v="0"/>
  </r>
  <r>
    <d v="2025-11-03T00:00:00"/>
    <s v="Nov"/>
    <s v="Afternoon"/>
    <x v="1"/>
    <n v="6"/>
    <n v="90"/>
    <x v="1"/>
  </r>
  <r>
    <d v="2025-11-03T00:00:00"/>
    <s v="Nov"/>
    <s v="Night"/>
    <x v="2"/>
    <n v="3"/>
    <n v="40"/>
    <x v="2"/>
  </r>
  <r>
    <d v="2025-11-03T00:00:00"/>
    <s v="Nov"/>
    <s v="Night"/>
    <x v="3"/>
    <n v="2"/>
    <n v="20"/>
    <x v="3"/>
  </r>
  <r>
    <d v="2025-11-04T00:00:00"/>
    <s v="Nov"/>
    <s v="Morning"/>
    <x v="4"/>
    <n v="5"/>
    <n v="40"/>
    <x v="4"/>
  </r>
  <r>
    <d v="2025-11-04T00:00:00"/>
    <s v="Nov"/>
    <s v="Afternoon"/>
    <x v="5"/>
    <n v="6"/>
    <n v="90"/>
    <x v="1"/>
  </r>
  <r>
    <d v="2025-11-04T00:00:00"/>
    <s v="Nov"/>
    <s v="Night"/>
    <x v="6"/>
    <n v="7"/>
    <n v="30"/>
    <x v="5"/>
  </r>
  <r>
    <d v="2025-11-04T00:00:00"/>
    <s v="Nov"/>
    <s v="Night"/>
    <x v="3"/>
    <n v="5"/>
    <n v="20"/>
    <x v="6"/>
  </r>
  <r>
    <d v="2025-11-05T00:00:00"/>
    <s v="Nov"/>
    <s v="Morning"/>
    <x v="3"/>
    <n v="17"/>
    <n v="20"/>
    <x v="7"/>
  </r>
  <r>
    <d v="2025-11-05T00:00:00"/>
    <s v="Nov"/>
    <s v="Afternoon"/>
    <x v="7"/>
    <n v="6"/>
    <n v="50"/>
    <x v="8"/>
  </r>
  <r>
    <d v="2025-11-05T00:00:00"/>
    <s v="Nov"/>
    <s v="Night"/>
    <x v="8"/>
    <n v="9"/>
    <n v="30"/>
    <x v="9"/>
  </r>
  <r>
    <d v="2025-11-05T00:00:00"/>
    <s v="Nov"/>
    <s v="Night"/>
    <x v="9"/>
    <n v="2"/>
    <n v="15"/>
    <x v="10"/>
  </r>
  <r>
    <d v="2025-11-05T00:00:00"/>
    <s v="Nov"/>
    <s v="Night"/>
    <x v="10"/>
    <n v="3"/>
    <n v="20"/>
    <x v="11"/>
  </r>
  <r>
    <d v="2025-11-06T00:00:00"/>
    <s v="Nov"/>
    <s v="Morning"/>
    <x v="0"/>
    <n v="21"/>
    <n v="8"/>
    <x v="12"/>
  </r>
  <r>
    <d v="2025-11-06T00:00:00"/>
    <s v="Nov"/>
    <s v="Afternoon"/>
    <x v="11"/>
    <n v="6"/>
    <n v="50"/>
    <x v="8"/>
  </r>
  <r>
    <d v="2025-11-06T00:00:00"/>
    <s v="Nov"/>
    <s v="Afternoon"/>
    <x v="12"/>
    <n v="2"/>
    <n v="10"/>
    <x v="13"/>
  </r>
  <r>
    <d v="2025-11-06T00:00:00"/>
    <s v="Nov"/>
    <s v="Night"/>
    <x v="13"/>
    <n v="6"/>
    <n v="25"/>
    <x v="14"/>
  </r>
  <r>
    <d v="2025-11-06T00:00:00"/>
    <s v="Nov"/>
    <s v="Night"/>
    <x v="3"/>
    <n v="2"/>
    <n v="20"/>
    <x v="3"/>
  </r>
  <r>
    <d v="2025-11-07T00:00:00"/>
    <s v="Nov"/>
    <s v="Morning"/>
    <x v="14"/>
    <n v="16"/>
    <n v="20"/>
    <x v="15"/>
  </r>
  <r>
    <d v="2025-11-07T00:00:00"/>
    <s v="Nov"/>
    <s v="Afternoon"/>
    <x v="15"/>
    <n v="9"/>
    <n v="190"/>
    <x v="16"/>
  </r>
  <r>
    <d v="2025-11-07T00:00:00"/>
    <s v="Nov"/>
    <s v="Night"/>
    <x v="6"/>
    <n v="4"/>
    <n v="30"/>
    <x v="2"/>
  </r>
  <r>
    <d v="2025-11-07T00:00:00"/>
    <s v="Nov"/>
    <s v="Night"/>
    <x v="3"/>
    <n v="2"/>
    <n v="20"/>
    <x v="3"/>
  </r>
  <r>
    <d v="2025-11-10T00:00:00"/>
    <s v="Nov"/>
    <s v="Morning"/>
    <x v="3"/>
    <n v="17"/>
    <n v="20"/>
    <x v="7"/>
  </r>
  <r>
    <d v="2025-11-10T00:00:00"/>
    <s v="Nov"/>
    <s v="Afternoon"/>
    <x v="1"/>
    <n v="7"/>
    <n v="90"/>
    <x v="17"/>
  </r>
  <r>
    <d v="2025-11-10T00:00:00"/>
    <s v="Nov"/>
    <s v="Night"/>
    <x v="16"/>
    <n v="4"/>
    <n v="40"/>
    <x v="18"/>
  </r>
  <r>
    <d v="2025-11-10T00:00:00"/>
    <s v="Nov"/>
    <s v="Night"/>
    <x v="3"/>
    <n v="3"/>
    <n v="20"/>
    <x v="11"/>
  </r>
  <r>
    <d v="2025-11-10T00:00:00"/>
    <s v="Nov"/>
    <s v="Night"/>
    <x v="2"/>
    <n v="1"/>
    <n v="40"/>
    <x v="3"/>
  </r>
  <r>
    <d v="2025-11-10T00:00:00"/>
    <s v="Nov"/>
    <s v="Night"/>
    <x v="6"/>
    <n v="1"/>
    <n v="30"/>
    <x v="10"/>
  </r>
  <r>
    <d v="2025-11-11T00:00:00"/>
    <s v="Nov"/>
    <s v="Morning"/>
    <x v="0"/>
    <n v="24"/>
    <n v="8"/>
    <x v="0"/>
  </r>
  <r>
    <d v="2025-11-11T00:00:00"/>
    <s v="Nov"/>
    <s v="Afternoon"/>
    <x v="7"/>
    <n v="7"/>
    <n v="50"/>
    <x v="19"/>
  </r>
  <r>
    <d v="2025-11-11T00:00:00"/>
    <s v="Nov"/>
    <s v="Night"/>
    <x v="8"/>
    <n v="4"/>
    <n v="50"/>
    <x v="4"/>
  </r>
  <r>
    <d v="2025-11-11T00:00:00"/>
    <s v="Nov"/>
    <s v="Night"/>
    <x v="3"/>
    <n v="6"/>
    <n v="20"/>
    <x v="2"/>
  </r>
  <r>
    <d v="2025-11-12T00:00:00"/>
    <s v="Nov"/>
    <s v="Morning"/>
    <x v="4"/>
    <n v="5"/>
    <n v="40"/>
    <x v="4"/>
  </r>
  <r>
    <d v="2025-11-12T00:00:00"/>
    <s v="Nov"/>
    <s v="Morning"/>
    <x v="17"/>
    <n v="3"/>
    <n v="5"/>
    <x v="20"/>
  </r>
  <r>
    <d v="2025-11-12T00:00:00"/>
    <s v="Nov"/>
    <s v="Afternoon"/>
    <x v="18"/>
    <n v="7"/>
    <n v="50"/>
    <x v="19"/>
  </r>
  <r>
    <d v="2025-11-12T00:00:00"/>
    <s v="Nov"/>
    <s v="Afternoon"/>
    <x v="19"/>
    <n v="10"/>
    <n v="10"/>
    <x v="6"/>
  </r>
  <r>
    <d v="2025-11-12T00:00:00"/>
    <s v="Nov"/>
    <s v="Night"/>
    <x v="6"/>
    <n v="8"/>
    <n v="30"/>
    <x v="21"/>
  </r>
  <r>
    <d v="2025-11-13T00:00:00"/>
    <s v="Nov"/>
    <s v="Morning"/>
    <x v="3"/>
    <n v="18"/>
    <n v="20"/>
    <x v="22"/>
  </r>
  <r>
    <d v="2025-11-13T00:00:00"/>
    <s v="Nov"/>
    <s v="Afternoon"/>
    <x v="15"/>
    <n v="9"/>
    <n v="200"/>
    <x v="23"/>
  </r>
  <r>
    <d v="2025-11-13T00:00:00"/>
    <s v="Nov"/>
    <s v="Night"/>
    <x v="16"/>
    <n v="4"/>
    <n v="40"/>
    <x v="18"/>
  </r>
  <r>
    <d v="2025-11-13T00:00:00"/>
    <s v="Nov"/>
    <s v="Night"/>
    <x v="6"/>
    <n v="1"/>
    <n v="30"/>
    <x v="10"/>
  </r>
  <r>
    <d v="2025-11-14T00:00:00"/>
    <s v="Nov"/>
    <s v="Morning"/>
    <x v="6"/>
    <n v="14"/>
    <n v="30"/>
    <x v="24"/>
  </r>
  <r>
    <d v="2025-11-14T00:00:00"/>
    <s v="Nov"/>
    <s v="Afternoon"/>
    <x v="7"/>
    <n v="7"/>
    <n v="50"/>
    <x v="19"/>
  </r>
  <r>
    <d v="2025-11-14T00:00:00"/>
    <s v="Nov"/>
    <s v="Afternoon"/>
    <x v="9"/>
    <n v="3"/>
    <n v="15"/>
    <x v="25"/>
  </r>
  <r>
    <d v="2025-11-14T00:00:00"/>
    <s v="Nov"/>
    <s v="Night"/>
    <x v="2"/>
    <n v="2"/>
    <n v="40"/>
    <x v="26"/>
  </r>
  <r>
    <d v="2025-11-14T00:00:00"/>
    <s v="Nov"/>
    <s v="Night"/>
    <x v="20"/>
    <n v="3"/>
    <n v="20"/>
    <x v="11"/>
  </r>
  <r>
    <d v="2025-11-17T00:00:00"/>
    <s v="Nov"/>
    <s v="Morning"/>
    <x v="0"/>
    <n v="17"/>
    <n v="8"/>
    <x v="27"/>
  </r>
  <r>
    <d v="2025-11-17T00:00:00"/>
    <s v="Nov"/>
    <s v="Afternoon"/>
    <x v="1"/>
    <n v="6"/>
    <n v="90"/>
    <x v="1"/>
  </r>
  <r>
    <d v="2025-11-18T00:00:00"/>
    <s v="Nov"/>
    <s v="Morning"/>
    <x v="4"/>
    <n v="4"/>
    <n v="40"/>
    <x v="18"/>
  </r>
  <r>
    <d v="2025-11-18T00:00:00"/>
    <s v="Nov"/>
    <s v="Afternoon"/>
    <x v="7"/>
    <n v="7"/>
    <n v="50"/>
    <x v="19"/>
  </r>
  <r>
    <d v="2025-11-18T00:00:00"/>
    <s v="Nov"/>
    <s v="Night"/>
    <x v="21"/>
    <n v="2"/>
    <n v="50"/>
    <x v="6"/>
  </r>
  <r>
    <d v="2025-11-18T00:00:00"/>
    <s v="Nov"/>
    <s v="Night"/>
    <x v="6"/>
    <n v="4"/>
    <n v="30"/>
    <x v="2"/>
  </r>
  <r>
    <d v="2025-11-19T00:00:00"/>
    <s v="Nov"/>
    <s v="Morning"/>
    <x v="14"/>
    <n v="14"/>
    <n v="20"/>
    <x v="28"/>
  </r>
  <r>
    <d v="2025-11-19T00:00:00"/>
    <s v="Nov"/>
    <s v="Afternoon"/>
    <x v="22"/>
    <n v="7"/>
    <n v="60"/>
    <x v="24"/>
  </r>
  <r>
    <d v="2025-11-19T00:00:00"/>
    <s v="Nov"/>
    <s v="Night"/>
    <x v="8"/>
    <n v="5"/>
    <n v="50"/>
    <x v="29"/>
  </r>
  <r>
    <d v="2025-11-20T00:00:00"/>
    <s v="Nov"/>
    <s v="Morning"/>
    <x v="0"/>
    <n v="22"/>
    <n v="8"/>
    <x v="30"/>
  </r>
  <r>
    <d v="2025-11-20T00:00:00"/>
    <s v="Nov"/>
    <s v="Afternoon"/>
    <x v="15"/>
    <n v="10"/>
    <n v="200"/>
    <x v="31"/>
  </r>
  <r>
    <d v="2025-11-20T00:00:00"/>
    <s v="Nov"/>
    <s v="Night"/>
    <x v="6"/>
    <n v="11"/>
    <n v="30"/>
    <x v="32"/>
  </r>
  <r>
    <d v="2025-11-20T00:00:00"/>
    <s v="Nov"/>
    <s v="Night"/>
    <x v="23"/>
    <n v="5"/>
    <n v="15"/>
    <x v="33"/>
  </r>
  <r>
    <d v="2025-11-21T00:00:00"/>
    <s v="Nov"/>
    <s v="Morning"/>
    <x v="14"/>
    <n v="12"/>
    <n v="20"/>
    <x v="21"/>
  </r>
  <r>
    <d v="2025-11-21T00:00:00"/>
    <s v="Nov"/>
    <s v="Afternoon"/>
    <x v="24"/>
    <n v="7"/>
    <n v="80"/>
    <x v="34"/>
  </r>
  <r>
    <d v="2025-11-21T00:00:00"/>
    <s v="Nov"/>
    <s v="Night"/>
    <x v="14"/>
    <n v="5"/>
    <n v="20"/>
    <x v="6"/>
  </r>
  <r>
    <d v="2025-11-21T00:00:00"/>
    <s v="Nov"/>
    <s v="Night"/>
    <x v="3"/>
    <n v="8"/>
    <n v="20"/>
    <x v="18"/>
  </r>
  <r>
    <d v="2025-11-24T00:00:00"/>
    <s v="Nov"/>
    <s v="Morning"/>
    <x v="0"/>
    <n v="15"/>
    <n v="8"/>
    <x v="2"/>
  </r>
  <r>
    <d v="2025-11-24T00:00:00"/>
    <s v="Nov"/>
    <s v="Morning"/>
    <x v="1"/>
    <n v="4"/>
    <n v="90"/>
    <x v="22"/>
  </r>
  <r>
    <d v="2025-11-24T00:00:00"/>
    <s v="Nov"/>
    <s v="Afternoon"/>
    <x v="3"/>
    <n v="5"/>
    <n v="20"/>
    <x v="6"/>
  </r>
  <r>
    <d v="2025-11-24T00:00:00"/>
    <s v="Nov"/>
    <s v="Night"/>
    <x v="9"/>
    <n v="2"/>
    <n v="30"/>
    <x v="11"/>
  </r>
  <r>
    <d v="2025-11-25T00:00:00"/>
    <s v="Nov"/>
    <s v="Morning"/>
    <x v="3"/>
    <n v="12"/>
    <n v="20"/>
    <x v="21"/>
  </r>
  <r>
    <d v="2025-11-25T00:00:00"/>
    <s v="Nov"/>
    <s v="Afternoon"/>
    <x v="7"/>
    <n v="5"/>
    <n v="50"/>
    <x v="29"/>
  </r>
  <r>
    <d v="2025-11-25T00:00:00"/>
    <s v="Nov"/>
    <s v="Night"/>
    <x v="14"/>
    <n v="5"/>
    <n v="20"/>
    <x v="6"/>
  </r>
  <r>
    <d v="2025-11-26T00:00:00"/>
    <s v="Nov"/>
    <s v="Morning"/>
    <x v="14"/>
    <n v="10"/>
    <n v="20"/>
    <x v="4"/>
  </r>
  <r>
    <d v="2025-11-26T00:00:00"/>
    <s v="Nov"/>
    <s v="Afternoon"/>
    <x v="22"/>
    <n v="5"/>
    <n v="60"/>
    <x v="8"/>
  </r>
  <r>
    <d v="2025-11-27T00:00:00"/>
    <s v="Nov"/>
    <s v="Morning"/>
    <x v="0"/>
    <n v="11"/>
    <n v="8"/>
    <x v="35"/>
  </r>
  <r>
    <d v="2025-11-27T00:00:00"/>
    <s v="Nov"/>
    <s v="Afternoon"/>
    <x v="11"/>
    <n v="3"/>
    <n v="50"/>
    <x v="14"/>
  </r>
  <r>
    <d v="2025-11-27T00:00:00"/>
    <s v="Nov"/>
    <s v="Afternoon"/>
    <x v="25"/>
    <n v="1"/>
    <n v="50"/>
    <x v="36"/>
  </r>
  <r>
    <d v="2025-11-27T00:00:00"/>
    <s v="Nov"/>
    <s v="Night"/>
    <x v="3"/>
    <n v="6"/>
    <n v="20"/>
    <x v="2"/>
  </r>
  <r>
    <d v="2025-11-28T00:00:00"/>
    <s v="Nov"/>
    <s v="Morning"/>
    <x v="6"/>
    <n v="10"/>
    <n v="30"/>
    <x v="8"/>
  </r>
  <r>
    <d v="2025-11-28T00:00:00"/>
    <s v="Nov"/>
    <s v="Afternoon"/>
    <x v="15"/>
    <n v="6"/>
    <n v="190"/>
    <x v="37"/>
  </r>
  <r>
    <d v="2025-11-28T00:00:00"/>
    <s v="Nov"/>
    <s v="Night"/>
    <x v="3"/>
    <n v="5"/>
    <n v="20"/>
    <x v="6"/>
  </r>
  <r>
    <d v="2025-12-01T00:00:00"/>
    <s v="Dec"/>
    <s v="Morning"/>
    <x v="0"/>
    <n v="18"/>
    <n v="8"/>
    <x v="38"/>
  </r>
  <r>
    <d v="2025-12-01T00:00:00"/>
    <s v="Dec"/>
    <s v="Afternoon"/>
    <x v="1"/>
    <n v="5"/>
    <n v="90"/>
    <x v="39"/>
  </r>
  <r>
    <d v="2025-12-01T00:00:00"/>
    <s v="Dec"/>
    <s v="Night"/>
    <x v="3"/>
    <n v="3"/>
    <n v="20"/>
    <x v="11"/>
  </r>
  <r>
    <d v="2025-12-02T00:00:00"/>
    <s v="Dec"/>
    <s v="Morning"/>
    <x v="14"/>
    <n v="12"/>
    <n v="20"/>
    <x v="21"/>
  </r>
  <r>
    <d v="2025-12-02T00:00:00"/>
    <s v="Dec"/>
    <s v="Afternoon"/>
    <x v="24"/>
    <n v="5"/>
    <n v="100"/>
    <x v="40"/>
  </r>
  <r>
    <d v="2025-12-02T00:00:00"/>
    <s v="Dec"/>
    <s v="Afternoon"/>
    <x v="19"/>
    <n v="7"/>
    <n v="20"/>
    <x v="41"/>
  </r>
  <r>
    <d v="2025-12-02T00:00:00"/>
    <s v="Dec"/>
    <s v="Night"/>
    <x v="3"/>
    <n v="3"/>
    <n v="20"/>
    <x v="11"/>
  </r>
  <r>
    <d v="2025-12-02T00:00:00"/>
    <s v="Dec"/>
    <s v="Night"/>
    <x v="6"/>
    <n v="2"/>
    <n v="30"/>
    <x v="11"/>
  </r>
  <r>
    <d v="2025-12-03T00:00:00"/>
    <s v="Dec"/>
    <s v="Morning"/>
    <x v="3"/>
    <n v="13"/>
    <n v="20"/>
    <x v="42"/>
  </r>
  <r>
    <d v="2025-12-03T00:00:00"/>
    <s v="Dec"/>
    <s v="Afternoon"/>
    <x v="7"/>
    <n v="5"/>
    <n v="50"/>
    <x v="29"/>
  </r>
  <r>
    <d v="2025-12-03T00:00:00"/>
    <s v="Dec"/>
    <s v="Night"/>
    <x v="3"/>
    <n v="5"/>
    <n v="20"/>
    <x v="6"/>
  </r>
  <r>
    <d v="2025-12-04T00:00:00"/>
    <s v="Dec"/>
    <s v="Morning"/>
    <x v="0"/>
    <n v="20"/>
    <n v="8"/>
    <x v="18"/>
  </r>
  <r>
    <d v="2025-12-04T00:00:00"/>
    <s v="Dec"/>
    <s v="Afternoon"/>
    <x v="15"/>
    <n v="8"/>
    <n v="200"/>
    <x v="43"/>
  </r>
  <r>
    <d v="2025-12-04T00:00:00"/>
    <s v="Dec"/>
    <s v="Night"/>
    <x v="6"/>
    <n v="3"/>
    <n v="30"/>
    <x v="44"/>
  </r>
  <r>
    <d v="2025-12-04T00:00:00"/>
    <s v="Dec"/>
    <s v="Night"/>
    <x v="26"/>
    <n v="2"/>
    <n v="25"/>
    <x v="36"/>
  </r>
  <r>
    <d v="2025-12-05T00:00:00"/>
    <s v="Dec"/>
    <s v="Morning"/>
    <x v="14"/>
    <n v="14"/>
    <n v="20"/>
    <x v="28"/>
  </r>
  <r>
    <d v="2025-12-05T00:00:00"/>
    <s v="Dec"/>
    <s v="Afternoon"/>
    <x v="11"/>
    <n v="5"/>
    <n v="50"/>
    <x v="29"/>
  </r>
  <r>
    <d v="2025-12-05T00:00:00"/>
    <s v="Dec"/>
    <s v="Night"/>
    <x v="6"/>
    <n v="5"/>
    <n v="30"/>
    <x v="14"/>
  </r>
  <r>
    <d v="2025-12-05T00:00:00"/>
    <s v="Dec"/>
    <s v="Night"/>
    <x v="27"/>
    <n v="2"/>
    <n v="20"/>
    <x v="3"/>
  </r>
  <r>
    <d v="2025-12-08T00:00:00"/>
    <s v="Dec"/>
    <s v="Morning"/>
    <x v="14"/>
    <n v="14"/>
    <n v="20"/>
    <x v="28"/>
  </r>
  <r>
    <d v="2025-12-08T00:00:00"/>
    <s v="Dec"/>
    <s v="Afternoon"/>
    <x v="1"/>
    <n v="6"/>
    <n v="90"/>
    <x v="1"/>
  </r>
  <r>
    <d v="2025-12-08T00:00:00"/>
    <s v="Dec"/>
    <s v="Night"/>
    <x v="3"/>
    <n v="6"/>
    <n v="20"/>
    <x v="2"/>
  </r>
  <r>
    <d v="2025-12-09T00:00:00"/>
    <s v="Dec"/>
    <s v="Morning"/>
    <x v="0"/>
    <n v="24"/>
    <n v="8"/>
    <x v="0"/>
  </r>
  <r>
    <d v="2025-12-09T00:00:00"/>
    <s v="Dec"/>
    <s v="Afternoon"/>
    <x v="7"/>
    <n v="6"/>
    <n v="60"/>
    <x v="22"/>
  </r>
  <r>
    <d v="2025-12-09T00:00:00"/>
    <s v="Dec"/>
    <s v="Night"/>
    <x v="28"/>
    <n v="3"/>
    <n v="50"/>
    <x v="14"/>
  </r>
  <r>
    <d v="2025-12-09T00:00:00"/>
    <s v="Dec"/>
    <s v="Night"/>
    <x v="3"/>
    <n v="3"/>
    <n v="20"/>
    <x v="11"/>
  </r>
  <r>
    <d v="2025-12-10T00:00:00"/>
    <s v="Dec"/>
    <s v="Morning"/>
    <x v="28"/>
    <n v="5"/>
    <n v="50"/>
    <x v="29"/>
  </r>
  <r>
    <d v="2025-12-10T00:00:00"/>
    <s v="Dec"/>
    <s v="Afternoon"/>
    <x v="1"/>
    <n v="5"/>
    <n v="90"/>
    <x v="39"/>
  </r>
  <r>
    <d v="2025-12-10T00:00:00"/>
    <s v="Dec"/>
    <s v="Night"/>
    <x v="6"/>
    <n v="4"/>
    <n v="30"/>
    <x v="2"/>
  </r>
  <r>
    <d v="2025-12-10T00:00:00"/>
    <s v="Dec"/>
    <s v="Night"/>
    <x v="3"/>
    <n v="3"/>
    <n v="20"/>
    <x v="11"/>
  </r>
  <r>
    <d v="2025-12-11T00:00:00"/>
    <s v="Dec"/>
    <s v="Morning"/>
    <x v="29"/>
    <n v="5"/>
    <n v="40"/>
    <x v="4"/>
  </r>
  <r>
    <d v="2025-12-11T00:00:00"/>
    <s v="Dec"/>
    <s v="Afternoon"/>
    <x v="15"/>
    <n v="8"/>
    <n v="200"/>
    <x v="43"/>
  </r>
  <r>
    <d v="2025-12-11T00:00:00"/>
    <s v="Dec"/>
    <s v="Night"/>
    <x v="17"/>
    <n v="3"/>
    <n v="5"/>
    <x v="20"/>
  </r>
  <r>
    <d v="2025-12-12T00:00:00"/>
    <s v="Dec"/>
    <s v="Morning"/>
    <x v="14"/>
    <n v="13"/>
    <n v="20"/>
    <x v="42"/>
  </r>
  <r>
    <d v="2025-12-12T00:00:00"/>
    <s v="Dec"/>
    <s v="Afternoon"/>
    <x v="11"/>
    <n v="5"/>
    <n v="60"/>
    <x v="8"/>
  </r>
  <r>
    <d v="2025-12-12T00:00:00"/>
    <s v="Dec"/>
    <s v="Night"/>
    <x v="8"/>
    <n v="2"/>
    <n v="60"/>
    <x v="2"/>
  </r>
  <r>
    <d v="2025-12-12T00:00:00"/>
    <s v="Dec"/>
    <s v="Night"/>
    <x v="10"/>
    <n v="3"/>
    <n v="20"/>
    <x v="11"/>
  </r>
  <r>
    <d v="2025-12-15T00:00:00"/>
    <s v="Dec"/>
    <s v="Morning"/>
    <x v="14"/>
    <n v="12"/>
    <n v="20"/>
    <x v="21"/>
  </r>
  <r>
    <d v="2025-12-15T00:00:00"/>
    <s v="Dec"/>
    <s v="Afternoon"/>
    <x v="1"/>
    <n v="6"/>
    <n v="90"/>
    <x v="1"/>
  </r>
  <r>
    <d v="2025-12-15T00:00:00"/>
    <s v="Dec"/>
    <s v="Afternoon"/>
    <x v="9"/>
    <n v="2"/>
    <n v="30"/>
    <x v="11"/>
  </r>
  <r>
    <d v="2025-12-15T00:00:00"/>
    <s v="Dec"/>
    <s v="Night"/>
    <x v="8"/>
    <n v="3"/>
    <n v="50"/>
    <x v="14"/>
  </r>
  <r>
    <d v="2025-12-15T00:00:00"/>
    <s v="Dec"/>
    <s v="Night"/>
    <x v="10"/>
    <n v="2"/>
    <n v="20"/>
    <x v="3"/>
  </r>
  <r>
    <d v="2025-12-16T00:00:00"/>
    <s v="Dec"/>
    <s v="Morning"/>
    <x v="3"/>
    <n v="12"/>
    <n v="20"/>
    <x v="21"/>
  </r>
  <r>
    <d v="2025-12-16T00:00:00"/>
    <s v="Dec"/>
    <s v="Afternoon"/>
    <x v="30"/>
    <n v="6"/>
    <n v="50"/>
    <x v="8"/>
  </r>
  <r>
    <d v="2025-12-16T00:00:00"/>
    <s v="Dec"/>
    <s v="Afternoon"/>
    <x v="12"/>
    <n v="6"/>
    <n v="10"/>
    <x v="11"/>
  </r>
  <r>
    <d v="2025-12-16T00:00:00"/>
    <s v="Dec"/>
    <s v="Night"/>
    <x v="3"/>
    <n v="2"/>
    <n v="20"/>
    <x v="3"/>
  </r>
  <r>
    <d v="2025-12-16T00:00:00"/>
    <s v="Dec"/>
    <s v="Night"/>
    <x v="6"/>
    <n v="4"/>
    <n v="30"/>
    <x v="2"/>
  </r>
  <r>
    <d v="2025-12-17T00:00:00"/>
    <s v="Dec"/>
    <s v="Morning"/>
    <x v="0"/>
    <n v="14"/>
    <n v="8"/>
    <x v="45"/>
  </r>
  <r>
    <d v="2025-12-17T00:00:00"/>
    <s v="Dec"/>
    <s v="Morning"/>
    <x v="14"/>
    <n v="2"/>
    <n v="20"/>
    <x v="3"/>
  </r>
  <r>
    <d v="2025-12-17T00:00:00"/>
    <s v="Dec"/>
    <s v="Afternoon"/>
    <x v="31"/>
    <n v="4"/>
    <n v="90"/>
    <x v="22"/>
  </r>
  <r>
    <d v="2025-12-17T00:00:00"/>
    <s v="Dec"/>
    <s v="Night"/>
    <x v="3"/>
    <n v="6"/>
    <n v="20"/>
    <x v="2"/>
  </r>
  <r>
    <d v="2025-12-18T00:00:00"/>
    <s v="Dec"/>
    <s v="Morning"/>
    <x v="20"/>
    <n v="8"/>
    <n v="20"/>
    <x v="18"/>
  </r>
  <r>
    <d v="2025-12-18T00:00:00"/>
    <s v="Dec"/>
    <s v="Afternoon"/>
    <x v="15"/>
    <n v="5"/>
    <n v="200"/>
    <x v="46"/>
  </r>
  <r>
    <d v="2025-12-18T00:00:00"/>
    <s v="Dec"/>
    <s v="Night"/>
    <x v="3"/>
    <n v="5"/>
    <n v="20"/>
    <x v="6"/>
  </r>
  <r>
    <d v="2025-12-18T00:00:00"/>
    <s v="Dec"/>
    <s v="Night"/>
    <x v="14"/>
    <n v="2"/>
    <n v="20"/>
    <x v="3"/>
  </r>
  <r>
    <d v="2025-12-19T00:00:00"/>
    <s v="Dec"/>
    <s v="Morning"/>
    <x v="3"/>
    <n v="12"/>
    <n v="20"/>
    <x v="21"/>
  </r>
  <r>
    <d v="2025-12-19T00:00:00"/>
    <s v="Dec"/>
    <s v="Afternoon"/>
    <x v="22"/>
    <n v="4"/>
    <n v="80"/>
    <x v="15"/>
  </r>
  <r>
    <d v="2025-12-19T00:00:00"/>
    <s v="Dec"/>
    <s v="Afternoon"/>
    <x v="23"/>
    <n v="3"/>
    <n v="15"/>
    <x v="25"/>
  </r>
  <r>
    <d v="2025-12-19T00:00:00"/>
    <s v="Dec"/>
    <s v="Night"/>
    <x v="6"/>
    <n v="5"/>
    <n v="30"/>
    <x v="14"/>
  </r>
  <r>
    <d v="2025-12-22T00:00:00"/>
    <s v="Dec"/>
    <s v="Morning"/>
    <x v="3"/>
    <n v="12"/>
    <n v="20"/>
    <x v="21"/>
  </r>
  <r>
    <d v="2025-12-22T00:00:00"/>
    <s v="Dec"/>
    <s v="Afternoon"/>
    <x v="31"/>
    <n v="4"/>
    <n v="90"/>
    <x v="22"/>
  </r>
  <r>
    <d v="2025-12-22T00:00:00"/>
    <s v="Dec"/>
    <s v="Afternoon"/>
    <x v="9"/>
    <n v="2"/>
    <n v="30"/>
    <x v="11"/>
  </r>
  <r>
    <d v="2025-12-22T00:00:00"/>
    <s v="Dec"/>
    <s v="Night"/>
    <x v="0"/>
    <n v="7"/>
    <n v="8"/>
    <x v="47"/>
  </r>
  <r>
    <d v="2025-12-22T00:00:00"/>
    <s v="Dec"/>
    <s v="Night"/>
    <x v="3"/>
    <n v="3"/>
    <n v="20"/>
    <x v="11"/>
  </r>
  <r>
    <d v="2025-12-23T00:00:00"/>
    <s v="Dec"/>
    <s v="Morning"/>
    <x v="32"/>
    <n v="6"/>
    <n v="25"/>
    <x v="14"/>
  </r>
  <r>
    <d v="2025-12-23T00:00:00"/>
    <s v="Dec"/>
    <s v="Morning"/>
    <x v="14"/>
    <n v="6"/>
    <n v="20"/>
    <x v="2"/>
  </r>
  <r>
    <d v="2025-12-23T00:00:00"/>
    <s v="Dec"/>
    <s v="Afternoon"/>
    <x v="33"/>
    <n v="5"/>
    <n v="100"/>
    <x v="40"/>
  </r>
  <r>
    <d v="2025-12-23T00:00:00"/>
    <s v="Dec"/>
    <s v="Afternoon"/>
    <x v="23"/>
    <n v="2"/>
    <n v="15"/>
    <x v="10"/>
  </r>
  <r>
    <d v="2025-12-23T00:00:00"/>
    <s v="Dec"/>
    <s v="Night"/>
    <x v="3"/>
    <n v="3"/>
    <n v="20"/>
    <x v="11"/>
  </r>
  <r>
    <d v="2025-12-23T00:00:00"/>
    <s v="Dec"/>
    <s v="Night"/>
    <x v="6"/>
    <n v="4"/>
    <n v="30"/>
    <x v="2"/>
  </r>
  <r>
    <d v="2025-12-24T00:00:00"/>
    <s v="Dec"/>
    <s v="Night"/>
    <x v="14"/>
    <n v="12"/>
    <n v="20"/>
    <x v="21"/>
  </r>
  <r>
    <d v="2025-12-29T00:00:00"/>
    <s v="Dec"/>
    <s v="Morning"/>
    <x v="14"/>
    <n v="12"/>
    <n v="20"/>
    <x v="21"/>
  </r>
  <r>
    <d v="2025-12-29T00:00:00"/>
    <s v="Dec"/>
    <s v="Afternoon"/>
    <x v="31"/>
    <n v="5"/>
    <n v="90"/>
    <x v="39"/>
  </r>
  <r>
    <d v="2025-12-29T00:00:00"/>
    <s v="Dec"/>
    <s v="Afternoon"/>
    <x v="9"/>
    <n v="3"/>
    <n v="30"/>
    <x v="44"/>
  </r>
  <r>
    <d v="2025-12-29T00:00:00"/>
    <s v="Dec"/>
    <s v="Night"/>
    <x v="6"/>
    <n v="2"/>
    <n v="30"/>
    <x v="11"/>
  </r>
  <r>
    <d v="2025-12-29T00:00:00"/>
    <s v="Dec"/>
    <s v="Night"/>
    <x v="3"/>
    <n v="5"/>
    <n v="20"/>
    <x v="6"/>
  </r>
  <r>
    <d v="2025-12-30T00:00:00"/>
    <s v="Dec"/>
    <s v="Morning"/>
    <x v="3"/>
    <n v="12"/>
    <n v="20"/>
    <x v="21"/>
  </r>
  <r>
    <d v="2025-12-30T00:00:00"/>
    <s v="Dec"/>
    <s v="Afternoon"/>
    <x v="11"/>
    <n v="5"/>
    <n v="60"/>
    <x v="8"/>
  </r>
  <r>
    <d v="2025-12-30T00:00:00"/>
    <s v="Dec"/>
    <s v="Night"/>
    <x v="3"/>
    <n v="3"/>
    <n v="20"/>
    <x v="11"/>
  </r>
  <r>
    <d v="2025-12-30T00:00:00"/>
    <s v="Dec"/>
    <s v="Night"/>
    <x v="0"/>
    <n v="6"/>
    <n v="8"/>
    <x v="48"/>
  </r>
  <r>
    <d v="2025-12-31T00:00:00"/>
    <s v="Dec"/>
    <s v="Morning"/>
    <x v="32"/>
    <n v="6"/>
    <n v="25"/>
    <x v="14"/>
  </r>
  <r>
    <d v="2025-12-31T00:00:00"/>
    <s v="Dec"/>
    <s v="Morning"/>
    <x v="14"/>
    <n v="6"/>
    <n v="20"/>
    <x v="2"/>
  </r>
  <r>
    <d v="2025-12-31T00:00:00"/>
    <s v="Dec"/>
    <s v="Afternoon"/>
    <x v="34"/>
    <n v="6"/>
    <n v="110"/>
    <x v="49"/>
  </r>
  <r>
    <d v="2026-01-02T00:00:00"/>
    <s v="Jan"/>
    <s v="Morning"/>
    <x v="20"/>
    <n v="6"/>
    <n v="25"/>
    <x v="14"/>
  </r>
  <r>
    <d v="2026-01-02T00:00:00"/>
    <s v="Jan"/>
    <s v="Morning"/>
    <x v="27"/>
    <n v="6"/>
    <n v="20"/>
    <x v="2"/>
  </r>
  <r>
    <d v="2026-01-02T00:00:00"/>
    <s v="Jan"/>
    <s v="Afternoon"/>
    <x v="1"/>
    <n v="5"/>
    <n v="90"/>
    <x v="39"/>
  </r>
  <r>
    <d v="2026-01-02T00:00:00"/>
    <s v="Jan"/>
    <s v="Afternoon"/>
    <x v="9"/>
    <n v="2"/>
    <n v="30"/>
    <x v="11"/>
  </r>
  <r>
    <d v="2026-01-02T00:00:00"/>
    <s v="Jan"/>
    <s v="Night"/>
    <x v="27"/>
    <n v="2"/>
    <n v="20"/>
    <x v="3"/>
  </r>
  <r>
    <d v="2026-01-02T00:00:00"/>
    <s v="Jan"/>
    <s v="Night"/>
    <x v="6"/>
    <n v="2"/>
    <n v="35"/>
    <x v="50"/>
  </r>
  <r>
    <d v="2026-01-02T00:00:00"/>
    <s v="Jan"/>
    <s v="Night"/>
    <x v="3"/>
    <n v="3"/>
    <n v="25"/>
    <x v="33"/>
  </r>
  <r>
    <d v="2026-01-05T00:00:00"/>
    <s v="Jan"/>
    <s v="Morning"/>
    <x v="0"/>
    <n v="20"/>
    <n v="8"/>
    <x v="18"/>
  </r>
  <r>
    <d v="2026-01-05T00:00:00"/>
    <s v="Jan"/>
    <s v="Afternoon"/>
    <x v="1"/>
    <n v="5"/>
    <n v="90"/>
    <x v="39"/>
  </r>
  <r>
    <d v="2026-01-05T00:00:00"/>
    <s v="Jan"/>
    <s v="Afternoon"/>
    <x v="9"/>
    <n v="2"/>
    <n v="30"/>
    <x v="11"/>
  </r>
  <r>
    <d v="2026-01-05T00:00:00"/>
    <s v="Jan"/>
    <s v="Night"/>
    <x v="35"/>
    <n v="6"/>
    <n v="30"/>
    <x v="51"/>
  </r>
  <r>
    <d v="2026-01-05T00:00:00"/>
    <s v="Jan"/>
    <s v="Night"/>
    <x v="3"/>
    <n v="1"/>
    <n v="20"/>
    <x v="13"/>
  </r>
  <r>
    <d v="2026-01-06T00:00:00"/>
    <s v="Jan"/>
    <s v="Morning"/>
    <x v="27"/>
    <n v="11"/>
    <n v="20"/>
    <x v="52"/>
  </r>
  <r>
    <d v="2026-01-06T00:00:00"/>
    <s v="Jan"/>
    <s v="Afternoon"/>
    <x v="36"/>
    <n v="4"/>
    <n v="130"/>
    <x v="53"/>
  </r>
  <r>
    <d v="2026-01-06T00:00:00"/>
    <s v="Jan"/>
    <s v="Night"/>
    <x v="3"/>
    <n v="4"/>
    <n v="20"/>
    <x v="26"/>
  </r>
  <r>
    <d v="2026-01-07T00:00:00"/>
    <s v="Jan"/>
    <s v="Morning"/>
    <x v="3"/>
    <n v="10"/>
    <n v="20"/>
    <x v="4"/>
  </r>
  <r>
    <d v="2026-01-07T00:00:00"/>
    <s v="Jan"/>
    <s v="Afternoon"/>
    <x v="37"/>
    <n v="5"/>
    <n v="250"/>
    <x v="54"/>
  </r>
  <r>
    <d v="2026-01-07T00:00:00"/>
    <s v="Jan"/>
    <s v="Night"/>
    <x v="3"/>
    <n v="4"/>
    <n v="20"/>
    <x v="26"/>
  </r>
  <r>
    <d v="2026-01-08T00:00:00"/>
    <s v="Jan"/>
    <s v="Morning"/>
    <x v="6"/>
    <n v="7"/>
    <n v="35"/>
    <x v="55"/>
  </r>
  <r>
    <d v="2026-01-08T00:00:00"/>
    <s v="Jan"/>
    <s v="Afternoon"/>
    <x v="38"/>
    <n v="1"/>
    <n v="40"/>
    <x v="3"/>
  </r>
  <r>
    <d v="2026-01-08T00:00:00"/>
    <s v="Jan"/>
    <s v="Afternoon"/>
    <x v="34"/>
    <n v="2"/>
    <n v="80"/>
    <x v="18"/>
  </r>
  <r>
    <d v="2026-01-08T00:00:00"/>
    <s v="Jan"/>
    <s v="Night"/>
    <x v="3"/>
    <n v="2"/>
    <n v="20"/>
    <x v="3"/>
  </r>
  <r>
    <d v="2026-01-09T00:00:00"/>
    <s v="Jan"/>
    <s v="Morning"/>
    <x v="3"/>
    <n v="12"/>
    <n v="20"/>
    <x v="21"/>
  </r>
  <r>
    <d v="2026-01-09T00:00:00"/>
    <s v="Jan"/>
    <s v="Afternoon"/>
    <x v="24"/>
    <n v="4"/>
    <n v="80"/>
    <x v="15"/>
  </r>
  <r>
    <d v="2026-01-09T00:00:00"/>
    <s v="Jan"/>
    <s v="Afternoon"/>
    <x v="38"/>
    <n v="1"/>
    <n v="40"/>
    <x v="3"/>
  </r>
  <r>
    <d v="2026-01-10T00:00:00"/>
    <s v="Jan"/>
    <s v="Morning"/>
    <x v="4"/>
    <n v="5"/>
    <n v="40"/>
    <x v="4"/>
  </r>
  <r>
    <d v="2026-01-10T00:00:00"/>
    <s v="Jan"/>
    <s v="Morning"/>
    <x v="27"/>
    <n v="4"/>
    <n v="20"/>
    <x v="26"/>
  </r>
  <r>
    <d v="2026-01-10T00:00:00"/>
    <s v="Jan"/>
    <s v="Afternoon"/>
    <x v="18"/>
    <n v="3"/>
    <n v="80"/>
    <x v="21"/>
  </r>
  <r>
    <d v="2026-01-10T00:00:00"/>
    <s v="Jan"/>
    <s v="Afternoon"/>
    <x v="39"/>
    <n v="5"/>
    <n v="30"/>
    <x v="14"/>
  </r>
  <r>
    <d v="2026-01-12T00:00:00"/>
    <s v="Jan"/>
    <s v="Morning"/>
    <x v="20"/>
    <n v="6"/>
    <n v="25"/>
    <x v="14"/>
  </r>
  <r>
    <d v="2026-01-12T00:00:00"/>
    <s v="Jan"/>
    <s v="Morning"/>
    <x v="27"/>
    <n v="6"/>
    <n v="20"/>
    <x v="2"/>
  </r>
  <r>
    <d v="2026-01-12T00:00:00"/>
    <s v="Jan"/>
    <s v="Afternoon"/>
    <x v="1"/>
    <n v="5"/>
    <n v="90"/>
    <x v="39"/>
  </r>
  <r>
    <d v="2026-01-12T00:00:00"/>
    <s v="Jan"/>
    <s v="Afternoon"/>
    <x v="9"/>
    <n v="3"/>
    <n v="30"/>
    <x v="44"/>
  </r>
  <r>
    <d v="2026-01-12T00:00:00"/>
    <s v="Jan"/>
    <s v="Night"/>
    <x v="3"/>
    <n v="7"/>
    <n v="20"/>
    <x v="41"/>
  </r>
  <r>
    <d v="2026-01-13T00:00:00"/>
    <s v="Jan"/>
    <s v="Morning"/>
    <x v="0"/>
    <n v="19"/>
    <n v="8"/>
    <x v="56"/>
  </r>
  <r>
    <d v="2026-01-13T00:00:00"/>
    <s v="Jan"/>
    <s v="Afternoon"/>
    <x v="40"/>
    <n v="4"/>
    <n v="130"/>
    <x v="53"/>
  </r>
  <r>
    <d v="2026-01-14T00:00:00"/>
    <s v="Jan"/>
    <s v="Morning"/>
    <x v="27"/>
    <n v="12"/>
    <n v="20"/>
    <x v="21"/>
  </r>
  <r>
    <d v="2026-01-14T00:00:00"/>
    <s v="Jan"/>
    <s v="Afternoon"/>
    <x v="1"/>
    <n v="4"/>
    <n v="90"/>
    <x v="22"/>
  </r>
  <r>
    <d v="2026-01-14T00:00:00"/>
    <s v="Jan"/>
    <s v="Afternoon"/>
    <x v="9"/>
    <n v="3"/>
    <n v="30"/>
    <x v="44"/>
  </r>
  <r>
    <d v="2026-01-15T00:00:00"/>
    <s v="Jan"/>
    <s v="Morning"/>
    <x v="27"/>
    <n v="6"/>
    <n v="20"/>
    <x v="2"/>
  </r>
  <r>
    <d v="2026-01-15T00:00:00"/>
    <s v="Jan"/>
    <s v="Afternoon"/>
    <x v="1"/>
    <n v="3"/>
    <n v="90"/>
    <x v="9"/>
  </r>
  <r>
    <d v="2026-01-19T00:00:00"/>
    <s v="Jan"/>
    <s v="Morning"/>
    <x v="27"/>
    <n v="6"/>
    <n v="20"/>
    <x v="2"/>
  </r>
  <r>
    <d v="2026-01-19T00:00:00"/>
    <s v="Jan"/>
    <s v="Afternoon"/>
    <x v="1"/>
    <n v="3"/>
    <n v="90"/>
    <x v="9"/>
  </r>
  <r>
    <d v="2026-01-19T00:00:00"/>
    <s v="Jan"/>
    <s v="Night"/>
    <x v="8"/>
    <n v="1"/>
    <n v="70"/>
    <x v="50"/>
  </r>
  <r>
    <d v="2026-01-20T00:00:00"/>
    <s v="Jan"/>
    <s v="Morning"/>
    <x v="0"/>
    <n v="9"/>
    <n v="8"/>
    <x v="57"/>
  </r>
  <r>
    <d v="2026-01-20T00:00:00"/>
    <s v="Jan"/>
    <s v="Afternoon"/>
    <x v="34"/>
    <n v="2"/>
    <n v="80"/>
    <x v="18"/>
  </r>
  <r>
    <d v="2026-01-20T00:00:00"/>
    <s v="Jan"/>
    <s v="Afternoon"/>
    <x v="38"/>
    <n v="1"/>
    <n v="40"/>
    <x v="3"/>
  </r>
  <r>
    <d v="2026-01-20T00:00:00"/>
    <s v="Jan"/>
    <s v="Night"/>
    <x v="3"/>
    <n v="2"/>
    <n v="25"/>
    <x v="36"/>
  </r>
  <r>
    <d v="2026-01-21T00:00:00"/>
    <s v="Jan"/>
    <s v="Morning"/>
    <x v="27"/>
    <n v="8"/>
    <n v="20"/>
    <x v="18"/>
  </r>
  <r>
    <d v="2026-01-21T00:00:00"/>
    <s v="Jan"/>
    <s v="Afternoon"/>
    <x v="7"/>
    <n v="3"/>
    <n v="50"/>
    <x v="14"/>
  </r>
  <r>
    <d v="2026-01-22T00:00:00"/>
    <s v="Jan"/>
    <s v="Afternoon"/>
    <x v="15"/>
    <n v="3"/>
    <n v="200"/>
    <x v="58"/>
  </r>
  <r>
    <d v="2026-01-22T00:00:00"/>
    <s v="Jan"/>
    <s v="Night"/>
    <x v="3"/>
    <n v="2"/>
    <n v="25"/>
    <x v="36"/>
  </r>
  <r>
    <d v="2026-01-23T00:00:00"/>
    <s v="Jan"/>
    <s v="Afternoon"/>
    <x v="1"/>
    <n v="2"/>
    <n v="90"/>
    <x v="51"/>
  </r>
  <r>
    <d v="2026-01-24T00:00:00"/>
    <s v="Jan"/>
    <s v="Night"/>
    <x v="3"/>
    <n v="3"/>
    <n v="25"/>
    <x v="33"/>
  </r>
  <r>
    <d v="2026-01-26T00:00:00"/>
    <s v="Jan"/>
    <s v="Night"/>
    <x v="3"/>
    <n v="2"/>
    <n v="25"/>
    <x v="36"/>
  </r>
  <r>
    <d v="2026-01-27T00:00:00"/>
    <s v="Jan"/>
    <s v="Afternoon"/>
    <x v="25"/>
    <n v="2"/>
    <n v="60"/>
    <x v="2"/>
  </r>
  <r>
    <d v="2026-01-28T00:00:00"/>
    <s v="Jan"/>
    <s v="Afternoon"/>
    <x v="1"/>
    <n v="2"/>
    <n v="90"/>
    <x v="51"/>
  </r>
  <r>
    <d v="2026-01-28T00:00:00"/>
    <s v="Jan"/>
    <s v="Night"/>
    <x v="41"/>
    <n v="2"/>
    <n v="40"/>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ADC04-78E6-493E-B339-87D94B6A0B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ime">
  <location ref="E2:F6" firstHeaderRow="1" firstDataRow="1" firstDataCol="1"/>
  <pivotFields count="10">
    <pivotField numFmtId="14"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axis="axisRow" showAll="0">
      <items count="4">
        <item x="1"/>
        <item x="0"/>
        <item x="2"/>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1"/>
    </i>
    <i>
      <x v="2"/>
    </i>
    <i t="grand">
      <x/>
    </i>
  </rowItems>
  <colItems count="1">
    <i/>
  </colItems>
  <dataFields count="1">
    <dataField name="Total Revenue" fld="6" baseField="0" baseItem="0"/>
  </dataFields>
  <formats count="12">
    <format dxfId="11">
      <pivotArea field="2" type="button" dataOnly="0" labelOnly="1" outline="0" axis="axisRow" fieldPosition="0"/>
    </format>
    <format dxfId="10">
      <pivotArea dataOnly="0" labelOnly="1" outline="0" axis="axisValues" fieldPosition="0"/>
    </format>
    <format dxfId="9">
      <pivotArea field="2" type="button" dataOnly="0" labelOnly="1" outline="0" axis="axisRow" fieldPosition="0"/>
    </format>
    <format dxfId="8">
      <pivotArea dataOnly="0" labelOnly="1" outline="0" axis="axisValues" fieldPosition="0"/>
    </format>
    <format dxfId="7">
      <pivotArea field="2" type="button" dataOnly="0" labelOnly="1" outline="0" axis="axisRow"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7F91EF-09CF-4FD8-A755-FC03E156203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ate">
  <location ref="N2:O64" firstHeaderRow="1" firstDataRow="1" firstDataCol="1"/>
  <pivotFields count="10">
    <pivotField axis="axisRow" numFmtId="14"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Total Revenue" fld="6" baseField="0" baseItem="0" numFmtId="167"/>
  </dataFields>
  <formats count="20">
    <format dxfId="31">
      <pivotArea type="all" dataOnly="0" outline="0" fieldPosition="0"/>
    </format>
    <format dxfId="30">
      <pivotArea field="0" type="button" dataOnly="0" labelOnly="1" outline="0" axis="axisRow" fieldPosition="0"/>
    </format>
    <format dxfId="2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8">
      <pivotArea dataOnly="0" labelOnly="1" outline="0" axis="axisValues" fieldPosition="0"/>
    </format>
    <format dxfId="27">
      <pivotArea field="0" type="button" dataOnly="0" labelOnly="1" outline="0" axis="axisRow" fieldPosition="0"/>
    </format>
    <format dxfId="26">
      <pivotArea dataOnly="0" labelOnly="1" outline="0" axis="axisValues" fieldPosition="0"/>
    </format>
    <format dxfId="25">
      <pivotArea field="0" type="button" dataOnly="0" labelOnly="1" outline="0" axis="axisRow" fieldPosition="0"/>
    </format>
    <format dxfId="24">
      <pivotArea dataOnly="0" labelOnly="1" outline="0" axis="axisValues" fieldPosition="0"/>
    </format>
    <format dxfId="23">
      <pivotArea field="0" type="button" dataOnly="0" labelOnly="1" outline="0" axis="axisRow" fieldPosition="0"/>
    </format>
    <format dxfId="22">
      <pivotArea dataOnly="0" labelOnly="1" outline="0" axis="axisValues" fieldPosition="0"/>
    </format>
    <format dxfId="21">
      <pivotArea dataOnly="0" labelOnly="1" fieldPosition="0">
        <references count="1">
          <reference field="0" count="1">
            <x v="49"/>
          </reference>
        </references>
      </pivotArea>
    </format>
    <format dxfId="20">
      <pivotArea dataOnly="0" labelOnly="1" fieldPosition="0">
        <references count="1">
          <reference field="0" count="1">
            <x v="49"/>
          </reference>
        </references>
      </pivotArea>
    </format>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5">
      <pivotArea dataOnly="0" labelOnly="1" fieldPosition="0">
        <references count="1">
          <reference field="0" count="11">
            <x v="50"/>
            <x v="51"/>
            <x v="52"/>
            <x v="53"/>
            <x v="54"/>
            <x v="55"/>
            <x v="56"/>
            <x v="57"/>
            <x v="58"/>
            <x v="59"/>
            <x v="60"/>
          </reference>
        </references>
      </pivotArea>
    </format>
    <format dxfId="14">
      <pivotArea dataOnly="0" labelOnly="1" grandRow="1" outline="0" fieldPosition="0"/>
    </format>
    <format dxfId="13">
      <pivotArea dataOnly="0" labelOnly="1" outline="0" axis="axisValues" fieldPosition="0"/>
    </format>
    <format dxfId="12">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6475F5-8789-41C8-87B3-2D8FE05095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s">
  <location ref="H2:I45" firstHeaderRow="1" firstDataRow="1" firstDataCol="1"/>
  <pivotFields count="10">
    <pivotField numFmtId="14"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showAll="0"/>
    <pivotField axis="axisRow" showAll="0">
      <items count="43">
        <item x="39"/>
        <item x="3"/>
        <item x="41"/>
        <item x="15"/>
        <item x="25"/>
        <item x="14"/>
        <item x="35"/>
        <item x="6"/>
        <item x="8"/>
        <item x="21"/>
        <item x="23"/>
        <item x="19"/>
        <item x="12"/>
        <item x="17"/>
        <item x="9"/>
        <item x="37"/>
        <item x="33"/>
        <item x="32"/>
        <item x="0"/>
        <item x="31"/>
        <item x="28"/>
        <item x="16"/>
        <item x="34"/>
        <item x="22"/>
        <item x="2"/>
        <item x="26"/>
        <item x="40"/>
        <item x="36"/>
        <item x="10"/>
        <item x="27"/>
        <item x="20"/>
        <item x="13"/>
        <item x="38"/>
        <item x="11"/>
        <item x="30"/>
        <item x="7"/>
        <item x="24"/>
        <item x="1"/>
        <item x="29"/>
        <item x="18"/>
        <item x="5"/>
        <item x="4"/>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Total Quantity" fld="4" baseField="0" baseItem="0"/>
  </dataFields>
  <formats count="12">
    <format dxfId="43">
      <pivotArea field="3" type="button" dataOnly="0" labelOnly="1" outline="0" axis="axisRow" fieldPosition="0"/>
    </format>
    <format dxfId="42">
      <pivotArea dataOnly="0" labelOnly="1" outline="0" axis="axisValues" fieldPosition="0"/>
    </format>
    <format dxfId="41">
      <pivotArea field="3" type="button" dataOnly="0" labelOnly="1" outline="0" axis="axisRow" fieldPosition="0"/>
    </format>
    <format dxfId="40">
      <pivotArea dataOnly="0" labelOnly="1" outline="0" axis="axisValues" fieldPosition="0"/>
    </format>
    <format dxfId="39">
      <pivotArea field="3" type="button" dataOnly="0" labelOnly="1" outline="0" axis="axisRow"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3" type="button" dataOnly="0" labelOnly="1" outline="0" axis="axisRow" fieldPosition="0"/>
    </format>
    <format dxfId="34">
      <pivotArea dataOnly="0" labelOnly="1" fieldPosition="0">
        <references count="1">
          <reference field="3" count="0"/>
        </references>
      </pivotArea>
    </format>
    <format dxfId="33">
      <pivotArea dataOnly="0" labelOnly="1" grandRow="1" outline="0" fieldPosition="0"/>
    </format>
    <format dxfId="32">
      <pivotArea dataOnly="0" labelOnly="1" outline="0" axis="axisValues" fieldPosition="0"/>
    </format>
  </formats>
  <conditionalFormats count="2">
    <conditionalFormat type="all" priority="1">
      <pivotAreas count="1">
        <pivotArea type="data" collapsedLevelsAreSubtotals="1" fieldPosition="0">
          <references count="2">
            <reference field="4294967294" count="1" selected="0">
              <x v="0"/>
            </reference>
            <reference field="3" count="42">
              <x v="0"/>
              <x v="1"/>
              <x v="2"/>
              <x v="3"/>
              <x v="4"/>
              <x v="5"/>
              <x v="6"/>
              <x v="7"/>
              <x v="8"/>
              <x v="9"/>
              <x v="10"/>
              <x v="11"/>
              <x v="12"/>
              <x v="13"/>
              <x v="14"/>
              <x v="15"/>
              <x v="16"/>
              <x v="17"/>
              <x v="18"/>
              <x v="19"/>
              <x v="20"/>
              <x v="21"/>
              <x v="22"/>
              <x v="23"/>
              <x v="24"/>
              <x v="25"/>
              <x v="26"/>
              <x v="27"/>
              <x v="28"/>
              <x v="29"/>
              <x v="30"/>
              <x v="31"/>
              <x v="32"/>
              <x v="33"/>
              <x v="34"/>
              <x v="35"/>
              <x v="36"/>
              <x v="37"/>
              <x v="38"/>
              <x v="39"/>
              <x v="40"/>
              <x v="41"/>
            </reference>
          </references>
        </pivotArea>
      </pivotAreas>
    </conditionalFormat>
    <conditionalFormat type="all" priority="2">
      <pivotAreas count="1">
        <pivotArea type="data" collapsedLevelsAreSubtotals="1" fieldPosition="0">
          <references count="2">
            <reference field="4294967294" count="1" selected="0">
              <x v="0"/>
            </reference>
            <reference field="3" count="42">
              <x v="0"/>
              <x v="1"/>
              <x v="2"/>
              <x v="3"/>
              <x v="4"/>
              <x v="5"/>
              <x v="6"/>
              <x v="7"/>
              <x v="8"/>
              <x v="9"/>
              <x v="10"/>
              <x v="11"/>
              <x v="12"/>
              <x v="13"/>
              <x v="14"/>
              <x v="15"/>
              <x v="16"/>
              <x v="17"/>
              <x v="18"/>
              <x v="19"/>
              <x v="20"/>
              <x v="21"/>
              <x v="22"/>
              <x v="23"/>
              <x v="24"/>
              <x v="25"/>
              <x v="26"/>
              <x v="27"/>
              <x v="28"/>
              <x v="29"/>
              <x v="30"/>
              <x v="31"/>
              <x v="32"/>
              <x v="33"/>
              <x v="34"/>
              <x v="35"/>
              <x v="36"/>
              <x v="37"/>
              <x v="38"/>
              <x v="39"/>
              <x v="40"/>
              <x v="41"/>
            </reference>
          </references>
        </pivotArea>
      </pivotAreas>
    </conditionalFormat>
  </conditional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B34639-B6A1-4B2D-9C7F-F8DF0655BC9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ime" colHeaderCaption="Month">
  <location ref="H49:L54" firstHeaderRow="1" firstDataRow="2" firstDataCol="1"/>
  <pivotFields count="10">
    <pivotField numFmtId="14"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axis="axisCol" showAll="0">
      <items count="4">
        <item x="2"/>
        <item x="0"/>
        <item x="1"/>
        <item t="default"/>
      </items>
    </pivotField>
    <pivotField axis="axisRow" showAll="0">
      <items count="4">
        <item x="1"/>
        <item x="0"/>
        <item x="2"/>
        <item t="default"/>
      </items>
    </pivotField>
    <pivotField showAll="0"/>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2"/>
  </rowFields>
  <rowItems count="4">
    <i>
      <x/>
    </i>
    <i>
      <x v="1"/>
    </i>
    <i>
      <x v="2"/>
    </i>
    <i t="grand">
      <x/>
    </i>
  </rowItems>
  <colFields count="1">
    <field x="1"/>
  </colFields>
  <colItems count="4">
    <i>
      <x/>
    </i>
    <i>
      <x v="1"/>
    </i>
    <i>
      <x v="2"/>
    </i>
    <i t="grand">
      <x/>
    </i>
  </colItems>
  <dataFields count="1">
    <dataField name="Total Revenue" fld="6" baseField="0" baseItem="0"/>
  </dataFields>
  <formats count="21">
    <format dxfId="64">
      <pivotArea type="origin" dataOnly="0" labelOnly="1" outline="0" fieldPosition="0"/>
    </format>
    <format dxfId="63">
      <pivotArea field="1" type="button" dataOnly="0" labelOnly="1" outline="0" axis="axisCol" fieldPosition="0"/>
    </format>
    <format dxfId="62">
      <pivotArea field="2" type="button" dataOnly="0" labelOnly="1" outline="0" axis="axisRow" fieldPosition="0"/>
    </format>
    <format dxfId="61">
      <pivotArea dataOnly="0" labelOnly="1" fieldPosition="0">
        <references count="1">
          <reference field="1" count="0"/>
        </references>
      </pivotArea>
    </format>
    <format dxfId="60">
      <pivotArea dataOnly="0" labelOnly="1" grandCol="1" outline="0" fieldPosition="0"/>
    </format>
    <format dxfId="59">
      <pivotArea field="2" type="button" dataOnly="0" labelOnly="1" outline="0" axis="axisRow" fieldPosition="0"/>
    </format>
    <format dxfId="58">
      <pivotArea dataOnly="0" labelOnly="1" fieldPosition="0">
        <references count="1">
          <reference field="1" count="0"/>
        </references>
      </pivotArea>
    </format>
    <format dxfId="57">
      <pivotArea dataOnly="0" labelOnly="1" grandCol="1" outline="0" fieldPosition="0"/>
    </format>
    <format dxfId="56">
      <pivotArea field="2" type="button" dataOnly="0" labelOnly="1" outline="0" axis="axisRow" fieldPosition="0"/>
    </format>
    <format dxfId="55">
      <pivotArea dataOnly="0" labelOnly="1" fieldPosition="0">
        <references count="1">
          <reference field="1" count="0"/>
        </references>
      </pivotArea>
    </format>
    <format dxfId="54">
      <pivotArea dataOnly="0" labelOnly="1" grandCol="1" outline="0" fieldPosition="0"/>
    </format>
    <format dxfId="53">
      <pivotArea type="all" dataOnly="0" outline="0" fieldPosition="0"/>
    </format>
    <format dxfId="52">
      <pivotArea outline="0" collapsedLevelsAreSubtotals="1" fieldPosition="0"/>
    </format>
    <format dxfId="51">
      <pivotArea type="origin" dataOnly="0" labelOnly="1" outline="0" fieldPosition="0"/>
    </format>
    <format dxfId="50">
      <pivotArea field="1" type="button" dataOnly="0" labelOnly="1" outline="0" axis="axisCol" fieldPosition="0"/>
    </format>
    <format dxfId="49">
      <pivotArea type="topRight" dataOnly="0" labelOnly="1" outline="0" fieldPosition="0"/>
    </format>
    <format dxfId="48">
      <pivotArea field="2" type="button" dataOnly="0" labelOnly="1" outline="0" axis="axisRow" fieldPosition="0"/>
    </format>
    <format dxfId="47">
      <pivotArea dataOnly="0" labelOnly="1" fieldPosition="0">
        <references count="1">
          <reference field="2" count="0"/>
        </references>
      </pivotArea>
    </format>
    <format dxfId="46">
      <pivotArea dataOnly="0" labelOnly="1" grandRow="1" outline="0" fieldPosition="0"/>
    </format>
    <format dxfId="45">
      <pivotArea dataOnly="0" labelOnly="1" fieldPosition="0">
        <references count="1">
          <reference field="1" count="0"/>
        </references>
      </pivotArea>
    </format>
    <format dxfId="44">
      <pivotArea dataOnly="0" labelOnly="1" grandCol="1" outline="0" fieldPosition="0"/>
    </format>
  </formats>
  <chartFormats count="6">
    <chartFormat chart="3" format="3" series="1">
      <pivotArea type="data" outline="0" fieldPosition="0">
        <references count="2">
          <reference field="4294967294" count="1" selected="0">
            <x v="0"/>
          </reference>
          <reference field="1" count="1" selected="0">
            <x v="0"/>
          </reference>
        </references>
      </pivotArea>
    </chartFormat>
    <chartFormat chart="3" format="4" series="1">
      <pivotArea type="data" outline="0" fieldPosition="0">
        <references count="2">
          <reference field="4294967294" count="1" selected="0">
            <x v="0"/>
          </reference>
          <reference field="1" count="1" selected="0">
            <x v="1"/>
          </reference>
        </references>
      </pivotArea>
    </chartFormat>
    <chartFormat chart="3" format="5" series="1">
      <pivotArea type="data" outline="0" fieldPosition="0">
        <references count="2">
          <reference field="4294967294" count="1" selected="0">
            <x v="0"/>
          </reference>
          <reference field="1" count="1" selected="0">
            <x v="2"/>
          </reference>
        </references>
      </pivotArea>
    </chartFormat>
    <chartFormat chart="5" format="9" series="1">
      <pivotArea type="data" outline="0" fieldPosition="0">
        <references count="2">
          <reference field="4294967294" count="1" selected="0">
            <x v="0"/>
          </reference>
          <reference field="1" count="1" selected="0">
            <x v="0"/>
          </reference>
        </references>
      </pivotArea>
    </chartFormat>
    <chartFormat chart="5" format="10" series="1">
      <pivotArea type="data" outline="0" fieldPosition="0">
        <references count="2">
          <reference field="4294967294" count="1" selected="0">
            <x v="0"/>
          </reference>
          <reference field="1" count="1" selected="0">
            <x v="1"/>
          </reference>
        </references>
      </pivotArea>
    </chartFormat>
    <chartFormat chart="5" format="11" series="1">
      <pivotArea type="data" outline="0" fieldPosition="0">
        <references count="2">
          <reference field="4294967294" count="1" selected="0">
            <x v="0"/>
          </reference>
          <reference field="1" count="1" selected="0">
            <x v="2"/>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6409EB-07F6-4853-B4C0-10ADA608F98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s">
  <location ref="K2:L45" firstHeaderRow="1" firstDataRow="1" firstDataCol="1"/>
  <pivotFields count="10">
    <pivotField numFmtId="14"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items count="4">
        <item x="2"/>
        <item x="0"/>
        <item x="1"/>
        <item t="default"/>
      </items>
    </pivotField>
    <pivotField showAll="0">
      <items count="4">
        <item x="1"/>
        <item x="0"/>
        <item x="2"/>
        <item t="default"/>
      </items>
    </pivotField>
    <pivotField axis="axisRow" showAll="0">
      <items count="43">
        <item x="39"/>
        <item x="3"/>
        <item x="41"/>
        <item x="15"/>
        <item x="25"/>
        <item x="14"/>
        <item x="35"/>
        <item x="6"/>
        <item x="8"/>
        <item x="21"/>
        <item x="23"/>
        <item x="19"/>
        <item x="12"/>
        <item x="17"/>
        <item x="9"/>
        <item x="37"/>
        <item x="33"/>
        <item x="32"/>
        <item x="0"/>
        <item x="31"/>
        <item x="28"/>
        <item x="16"/>
        <item x="34"/>
        <item x="22"/>
        <item x="2"/>
        <item x="26"/>
        <item x="40"/>
        <item x="36"/>
        <item x="10"/>
        <item x="27"/>
        <item x="20"/>
        <item x="13"/>
        <item x="38"/>
        <item x="11"/>
        <item x="30"/>
        <item x="7"/>
        <item x="24"/>
        <item x="1"/>
        <item x="29"/>
        <item x="18"/>
        <item x="5"/>
        <item x="4"/>
        <item t="default"/>
      </items>
    </pivotField>
    <pivotField showAll="0"/>
    <pivotField showAll="0"/>
    <pivotField dataField="1" showAll="0">
      <items count="60">
        <item x="20"/>
        <item x="13"/>
        <item x="10"/>
        <item x="3"/>
        <item x="25"/>
        <item x="48"/>
        <item x="36"/>
        <item x="47"/>
        <item x="11"/>
        <item x="50"/>
        <item x="57"/>
        <item x="33"/>
        <item x="26"/>
        <item x="35"/>
        <item x="44"/>
        <item x="6"/>
        <item x="45"/>
        <item x="2"/>
        <item x="27"/>
        <item x="41"/>
        <item x="38"/>
        <item x="14"/>
        <item x="56"/>
        <item x="18"/>
        <item x="12"/>
        <item x="30"/>
        <item x="51"/>
        <item x="0"/>
        <item x="4"/>
        <item x="5"/>
        <item x="52"/>
        <item x="21"/>
        <item x="55"/>
        <item x="29"/>
        <item x="42"/>
        <item x="9"/>
        <item x="28"/>
        <item x="8"/>
        <item x="15"/>
        <item x="32"/>
        <item x="7"/>
        <item x="19"/>
        <item x="22"/>
        <item x="24"/>
        <item x="39"/>
        <item x="40"/>
        <item x="53"/>
        <item x="1"/>
        <item x="34"/>
        <item x="58"/>
        <item x="17"/>
        <item x="49"/>
        <item x="46"/>
        <item x="37"/>
        <item x="54"/>
        <item x="43"/>
        <item x="16"/>
        <item x="23"/>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Total Revenue" fld="6" baseField="0" baseItem="0"/>
  </dataFields>
  <formats count="12">
    <format dxfId="76">
      <pivotArea field="3" type="button" dataOnly="0" labelOnly="1" outline="0" axis="axisRow" fieldPosition="0"/>
    </format>
    <format dxfId="75">
      <pivotArea dataOnly="0" labelOnly="1" outline="0" axis="axisValues" fieldPosition="0"/>
    </format>
    <format dxfId="74">
      <pivotArea field="3" type="button" dataOnly="0" labelOnly="1" outline="0" axis="axisRow"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3" type="button" dataOnly="0" labelOnly="1" outline="0" axis="axisRow" fieldPosition="0"/>
    </format>
    <format dxfId="69">
      <pivotArea dataOnly="0" labelOnly="1" fieldPosition="0">
        <references count="1">
          <reference field="3" count="0"/>
        </references>
      </pivotArea>
    </format>
    <format dxfId="68">
      <pivotArea dataOnly="0" labelOnly="1" grandRow="1" outline="0" fieldPosition="0"/>
    </format>
    <format dxfId="67">
      <pivotArea dataOnly="0" labelOnly="1" outline="0" axis="axisValues" fieldPosition="0"/>
    </format>
    <format dxfId="66">
      <pivotArea field="3" type="button" dataOnly="0" labelOnly="1" outline="0" axis="axisRow" fieldPosition="0"/>
    </format>
    <format dxfId="65">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3" count="42">
              <x v="0"/>
              <x v="1"/>
              <x v="2"/>
              <x v="3"/>
              <x v="4"/>
              <x v="5"/>
              <x v="6"/>
              <x v="7"/>
              <x v="8"/>
              <x v="9"/>
              <x v="10"/>
              <x v="11"/>
              <x v="12"/>
              <x v="13"/>
              <x v="14"/>
              <x v="15"/>
              <x v="16"/>
              <x v="17"/>
              <x v="18"/>
              <x v="19"/>
              <x v="20"/>
              <x v="21"/>
              <x v="22"/>
              <x v="23"/>
              <x v="24"/>
              <x v="25"/>
              <x v="26"/>
              <x v="27"/>
              <x v="28"/>
              <x v="29"/>
              <x v="30"/>
              <x v="31"/>
              <x v="32"/>
              <x v="33"/>
              <x v="34"/>
              <x v="35"/>
              <x v="36"/>
              <x v="37"/>
              <x v="38"/>
              <x v="39"/>
              <x v="40"/>
              <x v="41"/>
            </reference>
          </references>
        </pivotArea>
      </pivotAreas>
    </conditionalFormat>
  </conditional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3EAD1C-EAD9-4D33-BE3D-DB31D3B11B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B2:C6" firstHeaderRow="1" firstDataRow="1" firstDataCol="1"/>
  <pivotFields count="10">
    <pivotField numFmtId="14"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axis="axisRow" showAll="0">
      <items count="4">
        <item x="2"/>
        <item x="0"/>
        <item x="1"/>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4">
    <i>
      <x/>
    </i>
    <i>
      <x v="1"/>
    </i>
    <i>
      <x v="2"/>
    </i>
    <i t="grand">
      <x/>
    </i>
  </rowItems>
  <colItems count="1">
    <i/>
  </colItems>
  <dataFields count="1">
    <dataField name="Total Revenue" fld="6" baseField="0" baseItem="0"/>
  </dataFields>
  <formats count="12">
    <format dxfId="88">
      <pivotArea field="1" type="button" dataOnly="0" labelOnly="1" outline="0" axis="axisRow" fieldPosition="0"/>
    </format>
    <format dxfId="87">
      <pivotArea dataOnly="0" labelOnly="1" outline="0" axis="axisValues" fieldPosition="0"/>
    </format>
    <format dxfId="86">
      <pivotArea field="1" type="button" dataOnly="0" labelOnly="1" outline="0" axis="axisRow" fieldPosition="0"/>
    </format>
    <format dxfId="85">
      <pivotArea dataOnly="0" labelOnly="1" outline="0" axis="axisValues" fieldPosition="0"/>
    </format>
    <format dxfId="84">
      <pivotArea field="1" type="button" dataOnly="0" labelOnly="1" outline="0" axis="axisRow"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1" type="button" dataOnly="0" labelOnly="1" outline="0" axis="axisRow" fieldPosition="0"/>
    </format>
    <format dxfId="79">
      <pivotArea dataOnly="0" labelOnly="1" fieldPosition="0">
        <references count="1">
          <reference field="1" count="0"/>
        </references>
      </pivotArea>
    </format>
    <format dxfId="78">
      <pivotArea dataOnly="0" labelOnly="1" grandRow="1" outline="0" fieldPosition="0"/>
    </format>
    <format dxfId="77">
      <pivotArea dataOnly="0" labelOnly="1" outline="0" axis="axisValues" fieldPosition="0"/>
    </format>
  </formats>
  <chartFormats count="2">
    <chartFormat chart="3"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C21C31-F2A3-4F6F-B116-40F124D1968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Top 10 Items">
  <location ref="B63:C74" firstHeaderRow="1" firstDataRow="1" firstDataCol="1"/>
  <pivotFields count="7">
    <pivotField numFmtId="14" showAll="0"/>
    <pivotField showAll="0"/>
    <pivotField showAll="0"/>
    <pivotField axis="axisRow" showAll="0" measureFilter="1" sortType="descending">
      <items count="43">
        <item x="39"/>
        <item x="3"/>
        <item x="41"/>
        <item x="15"/>
        <item x="25"/>
        <item x="14"/>
        <item x="35"/>
        <item x="6"/>
        <item x="8"/>
        <item x="21"/>
        <item x="23"/>
        <item x="19"/>
        <item x="12"/>
        <item x="17"/>
        <item x="9"/>
        <item x="37"/>
        <item x="33"/>
        <item x="32"/>
        <item x="0"/>
        <item x="31"/>
        <item x="28"/>
        <item x="16"/>
        <item x="34"/>
        <item x="22"/>
        <item x="2"/>
        <item x="26"/>
        <item x="40"/>
        <item x="36"/>
        <item x="10"/>
        <item x="27"/>
        <item x="20"/>
        <item x="13"/>
        <item x="38"/>
        <item x="11"/>
        <item x="30"/>
        <item x="7"/>
        <item x="24"/>
        <item x="1"/>
        <item x="29"/>
        <item x="18"/>
        <item x="5"/>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pivotFields>
  <rowFields count="1">
    <field x="3"/>
  </rowFields>
  <rowItems count="11">
    <i>
      <x v="3"/>
    </i>
    <i>
      <x v="37"/>
    </i>
    <i>
      <x v="1"/>
    </i>
    <i>
      <x v="5"/>
    </i>
    <i>
      <x v="7"/>
    </i>
    <i>
      <x v="35"/>
    </i>
    <i>
      <x v="18"/>
    </i>
    <i>
      <x v="36"/>
    </i>
    <i>
      <x v="33"/>
    </i>
    <i>
      <x v="29"/>
    </i>
    <i t="grand">
      <x/>
    </i>
  </rowItems>
  <colItems count="1">
    <i/>
  </colItems>
  <dataFields count="1">
    <dataField name="Total Revenue" fld="6" baseField="0" baseItem="0" numFmtId="166"/>
  </dataFields>
  <formats count="10">
    <format dxfId="98">
      <pivotArea field="3" type="button" dataOnly="0" labelOnly="1" outline="0" axis="axisRow" fieldPosition="0"/>
    </format>
    <format dxfId="97">
      <pivotArea field="3" type="button" dataOnly="0" labelOnly="1" outline="0" axis="axisRow" fieldPosition="0"/>
    </format>
    <format dxfId="96">
      <pivotArea dataOnly="0" labelOnly="1" outline="0" axis="axisValues"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3" type="button" dataOnly="0" labelOnly="1" outline="0" axis="axisRow" fieldPosition="0"/>
    </format>
    <format dxfId="91">
      <pivotArea dataOnly="0" labelOnly="1" fieldPosition="0">
        <references count="1">
          <reference field="3" count="10">
            <x v="1"/>
            <x v="3"/>
            <x v="5"/>
            <x v="7"/>
            <x v="18"/>
            <x v="29"/>
            <x v="33"/>
            <x v="35"/>
            <x v="36"/>
            <x v="37"/>
          </reference>
        </references>
      </pivotArea>
    </format>
    <format dxfId="90">
      <pivotArea dataOnly="0" labelOnly="1" grandRow="1" outline="0" fieldPosition="0"/>
    </format>
    <format dxfId="8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FB40D1-7B34-46D8-AF0F-24C6FDBB1AF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s" colHeaderCaption="Time">
  <location ref="B16:F60" firstHeaderRow="1" firstDataRow="2" firstDataCol="1"/>
  <pivotFields count="10">
    <pivotField numFmtId="14"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axis="axisCol" showAll="0">
      <items count="4">
        <item x="1"/>
        <item x="0"/>
        <item x="2"/>
        <item t="default"/>
      </items>
    </pivotField>
    <pivotField axis="axisRow" showAll="0">
      <items count="43">
        <item x="39"/>
        <item x="3"/>
        <item x="41"/>
        <item x="15"/>
        <item x="25"/>
        <item x="14"/>
        <item x="35"/>
        <item x="6"/>
        <item x="8"/>
        <item x="21"/>
        <item x="23"/>
        <item x="19"/>
        <item x="12"/>
        <item x="17"/>
        <item x="9"/>
        <item x="37"/>
        <item x="33"/>
        <item x="32"/>
        <item x="0"/>
        <item x="31"/>
        <item x="28"/>
        <item x="16"/>
        <item x="34"/>
        <item x="22"/>
        <item x="2"/>
        <item x="26"/>
        <item x="40"/>
        <item x="36"/>
        <item x="10"/>
        <item x="27"/>
        <item x="20"/>
        <item x="13"/>
        <item x="38"/>
        <item x="11"/>
        <item x="30"/>
        <item x="7"/>
        <item x="24"/>
        <item x="1"/>
        <item x="29"/>
        <item x="18"/>
        <item x="5"/>
        <item x="4"/>
        <item t="default"/>
      </items>
    </pivotField>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Fields count="1">
    <field x="2"/>
  </colFields>
  <colItems count="4">
    <i>
      <x/>
    </i>
    <i>
      <x v="1"/>
    </i>
    <i>
      <x v="2"/>
    </i>
    <i t="grand">
      <x/>
    </i>
  </colItems>
  <dataFields count="1">
    <dataField name="Total Quantity" fld="4" baseField="0" baseItem="0"/>
  </dataFields>
  <formats count="10">
    <format dxfId="108">
      <pivotArea field="3" type="button" dataOnly="0" labelOnly="1" outline="0" axis="axisRow" fieldPosition="0"/>
    </format>
    <format dxfId="107">
      <pivotArea dataOnly="0" labelOnly="1" fieldPosition="0">
        <references count="1">
          <reference field="2" count="0"/>
        </references>
      </pivotArea>
    </format>
    <format dxfId="106">
      <pivotArea dataOnly="0" labelOnly="1" grandCol="1" outline="0" fieldPosition="0"/>
    </format>
    <format dxfId="105">
      <pivotArea field="3" type="button" dataOnly="0" labelOnly="1" outline="0" axis="axisRow" fieldPosition="0"/>
    </format>
    <format dxfId="104">
      <pivotArea dataOnly="0" labelOnly="1" fieldPosition="0">
        <references count="1">
          <reference field="2" count="0"/>
        </references>
      </pivotArea>
    </format>
    <format dxfId="103">
      <pivotArea dataOnly="0" labelOnly="1" grandCol="1" outline="0" fieldPosition="0"/>
    </format>
    <format dxfId="102">
      <pivotArea field="3" type="button" dataOnly="0" labelOnly="1" outline="0" axis="axisRow" fieldPosition="0"/>
    </format>
    <format dxfId="101">
      <pivotArea dataOnly="0" labelOnly="1" fieldPosition="0">
        <references count="1">
          <reference field="2" count="0"/>
        </references>
      </pivotArea>
    </format>
    <format dxfId="100">
      <pivotArea dataOnly="0" labelOnly="1" grandCol="1" outline="0" fieldPosition="0"/>
    </format>
    <format dxfId="99">
      <pivotArea type="all" dataOnly="0" outline="0"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E926C4-E32F-4CB2-97F6-622C747247F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B9:C13" firstHeaderRow="1" firstDataRow="1" firstDataCol="1"/>
  <pivotFields count="10">
    <pivotField numFmtId="14"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axis="axisRow" showAll="0">
      <items count="4">
        <item x="2"/>
        <item x="0"/>
        <item x="1"/>
        <item t="default"/>
      </items>
    </pivotField>
    <pivotField showAll="0"/>
    <pivotField showAll="0"/>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1"/>
  </rowFields>
  <rowItems count="4">
    <i>
      <x/>
    </i>
    <i>
      <x v="1"/>
    </i>
    <i>
      <x v="2"/>
    </i>
    <i t="grand">
      <x/>
    </i>
  </rowItems>
  <colItems count="1">
    <i/>
  </colItems>
  <dataFields count="1">
    <dataField name="Total Revenue %" fld="6" showDataAs="percentOfTotal" baseField="1" baseItem="0" numFmtId="10"/>
  </dataFields>
  <formats count="10">
    <format dxfId="118">
      <pivotArea field="1" type="button" dataOnly="0" labelOnly="1" outline="0" axis="axisRow" fieldPosition="0"/>
    </format>
    <format dxfId="117">
      <pivotArea dataOnly="0" labelOnly="1" outline="0" axis="axisValues" fieldPosition="0"/>
    </format>
    <format dxfId="116">
      <pivotArea field="1" type="button" dataOnly="0" labelOnly="1" outline="0" axis="axisRow"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1" type="button" dataOnly="0" labelOnly="1" outline="0" axis="axisRow" fieldPosition="0"/>
    </format>
    <format dxfId="111">
      <pivotArea dataOnly="0" labelOnly="1" fieldPosition="0">
        <references count="1">
          <reference field="1" count="0"/>
        </references>
      </pivotArea>
    </format>
    <format dxfId="110">
      <pivotArea dataOnly="0" labelOnly="1" grandRow="1" outline="0" fieldPosition="0"/>
    </format>
    <format dxfId="109">
      <pivotArea dataOnly="0" labelOnly="1" outline="0" axis="axisValues" fieldPosition="0"/>
    </format>
  </formats>
  <chartFormats count="4">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7905153-5DFC-46A5-BC1A-506555E8D4E8}" sourceName="Month">
  <pivotTables>
    <pivotTable tabId="4" name="PivotTable4"/>
  </pivotTables>
  <data>
    <tabular pivotCacheId="102694135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28023AB6-C8B1-4F2F-A498-8E89922CBE06}" sourceName="Time">
  <pivotTables>
    <pivotTable tabId="4" name="PivotTable4"/>
  </pivotTables>
  <data>
    <tabular pivotCacheId="102694135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E5112F59-9995-4368-9FDE-BC8B52A9224F}" sourceName="Item">
  <pivotTables>
    <pivotTable tabId="4" name="PivotTable4"/>
  </pivotTables>
  <data>
    <tabular pivotCacheId="1026941350">
      <items count="42">
        <i x="39" s="1"/>
        <i x="3" s="1"/>
        <i x="41" s="1"/>
        <i x="15" s="1"/>
        <i x="25" s="1"/>
        <i x="14" s="1"/>
        <i x="35" s="1"/>
        <i x="6" s="1"/>
        <i x="8" s="1"/>
        <i x="21" s="1"/>
        <i x="23" s="1"/>
        <i x="19" s="1"/>
        <i x="12" s="1"/>
        <i x="17" s="1"/>
        <i x="9" s="1"/>
        <i x="37" s="1"/>
        <i x="33" s="1"/>
        <i x="32" s="1"/>
        <i x="0" s="1"/>
        <i x="31" s="1"/>
        <i x="28" s="1"/>
        <i x="16" s="1"/>
        <i x="34" s="1"/>
        <i x="22" s="1"/>
        <i x="2" s="1"/>
        <i x="26" s="1"/>
        <i x="40" s="1"/>
        <i x="36" s="1"/>
        <i x="10" s="1"/>
        <i x="27" s="1"/>
        <i x="20" s="1"/>
        <i x="13" s="1"/>
        <i x="38" s="1"/>
        <i x="11" s="1"/>
        <i x="30" s="1"/>
        <i x="7" s="1"/>
        <i x="24" s="1"/>
        <i x="1" s="1"/>
        <i x="29" s="1"/>
        <i x="18"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EAC8BF1-B7C6-4484-A6F9-621C423B3EB3}" cache="Slicer_Month" caption="Month" style="SlicerStyleLight5" rowHeight="247650"/>
  <slicer name="Time" xr10:uid="{E523DDD0-0E97-45B5-B8BE-993E8668F264}" cache="Slicer_Time" caption="Time" style="SlicerStyleLight5" rowHeight="247650"/>
  <slicer name="Item" xr10:uid="{F9C533DC-AF64-443E-BDE8-026B40D31931}" cache="Slicer_Item" caption="Food Items"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053B98-57F1-408D-9528-3E964FF67EC8}" name="Table1" displayName="Table1" ref="B1:H221" totalsRowShown="0" headerRowDxfId="131" headerRowCellStyle="Accent3">
  <autoFilter ref="B1:H221" xr:uid="{87053B98-57F1-408D-9528-3E964FF67EC8}"/>
  <tableColumns count="7">
    <tableColumn id="1" xr3:uid="{8A4C39EA-9452-4A58-BF61-6F18251BE20A}" name="Date" dataDxfId="130"/>
    <tableColumn id="2" xr3:uid="{3ED58B41-E0BE-4F4A-9EC6-683644F7A84D}" name="Month" dataDxfId="129"/>
    <tableColumn id="3" xr3:uid="{9CBDE31F-5ED7-4BC7-8098-0A896602114A}" name="Time" dataDxfId="128"/>
    <tableColumn id="4" xr3:uid="{29E67B0B-E7DC-416E-87EF-E6F6878AF41F}" name="Item" dataDxfId="127"/>
    <tableColumn id="5" xr3:uid="{5296A411-D72B-48BD-9B44-C954E082A5D7}" name="Quantity" dataDxfId="126"/>
    <tableColumn id="6" xr3:uid="{87A938EE-F5A1-4586-8C80-924617DAB780}" name="Amount per item" dataDxfId="125"/>
    <tableColumn id="7" xr3:uid="{AD4638C3-02F2-458E-A05F-FBF39656E09F}" name="Total" dataDxfId="124" dataCellStyle="Normal 2">
      <calculatedColumnFormula>F2*G2</calculatedColumnFormula>
    </tableColumn>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5E50F6-9D96-40C7-841A-6897B9E7B738}" name="Table2" displayName="Table2" ref="A1:E146" totalsRowShown="0">
  <autoFilter ref="A1:E146" xr:uid="{4D5E50F6-9D96-40C7-841A-6897B9E7B738}"/>
  <tableColumns count="5">
    <tableColumn id="1" xr3:uid="{350D993B-03B5-4FD4-AC54-0D373C7C6E88}" name="Date" dataDxfId="123"/>
    <tableColumn id="2" xr3:uid="{02C10C26-A987-4A58-BEC1-BE2C49BE22CE}" name="Total Revenue"/>
    <tableColumn id="3" xr3:uid="{F9DC4CE2-E276-498F-9207-A423E95A95B3}" name="Forecast(Total Revenue)">
      <calculatedColumnFormula>_xlfn.FORECAST.ETS(A2,$B$2:$B$88,$A$2:$A$88,1,1)</calculatedColumnFormula>
    </tableColumn>
    <tableColumn id="4" xr3:uid="{6456C347-52AE-4E8A-8640-829887747F87}" name="Lower Confidence Bound(Total Revenue)" dataDxfId="122">
      <calculatedColumnFormula>C2-_xlfn.FORECAST.ETS.CONFINT(A2,$B$2:$B$88,$A$2:$A$88,0.95,1,1)</calculatedColumnFormula>
    </tableColumn>
    <tableColumn id="5" xr3:uid="{0F2529F5-5417-44EB-90F1-7DB29E9EB90F}" name="Upper Confidence Bound(Total Revenue)" dataDxfId="121">
      <calculatedColumnFormula>C2+_xlfn.FORECAST.ETS.CONFINT(A2,$B$2:$B$88,$A$2:$A$88,0.95,1,1)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B1E12-9720-4BA6-ADAD-0E1B5ADE05B1}">
  <sheetPr>
    <tabColor theme="2" tint="-0.499984740745262"/>
  </sheetPr>
  <dimension ref="B2:G222"/>
  <sheetViews>
    <sheetView workbookViewId="0">
      <selection activeCell="C2" sqref="C2"/>
    </sheetView>
  </sheetViews>
  <sheetFormatPr defaultRowHeight="14.4" x14ac:dyDescent="0.3"/>
  <cols>
    <col min="2" max="2" width="17.6640625" customWidth="1"/>
    <col min="3" max="3" width="17.44140625" customWidth="1"/>
    <col min="4" max="4" width="44.77734375" customWidth="1"/>
    <col min="5" max="5" width="17.5546875" customWidth="1"/>
    <col min="6" max="6" width="17.44140625" customWidth="1"/>
    <col min="7" max="7" width="14" customWidth="1"/>
  </cols>
  <sheetData>
    <row r="2" spans="2:7" x14ac:dyDescent="0.3">
      <c r="B2" s="1" t="s">
        <v>0</v>
      </c>
      <c r="C2" s="1" t="s">
        <v>1</v>
      </c>
      <c r="D2" s="1" t="s">
        <v>2</v>
      </c>
      <c r="E2" s="1" t="s">
        <v>3</v>
      </c>
      <c r="F2" s="1" t="s">
        <v>4</v>
      </c>
      <c r="G2" s="1" t="s">
        <v>5</v>
      </c>
    </row>
    <row r="3" spans="2:7" x14ac:dyDescent="0.3">
      <c r="B3" s="84">
        <v>45964</v>
      </c>
      <c r="C3" s="2" t="s">
        <v>6</v>
      </c>
      <c r="D3" s="3" t="s">
        <v>7</v>
      </c>
      <c r="E3" s="4">
        <v>24</v>
      </c>
      <c r="F3" s="4">
        <v>8</v>
      </c>
      <c r="G3" s="4">
        <v>192</v>
      </c>
    </row>
    <row r="4" spans="2:7" x14ac:dyDescent="0.3">
      <c r="B4" s="80"/>
      <c r="C4" s="2" t="s">
        <v>8</v>
      </c>
      <c r="D4" s="3" t="s">
        <v>9</v>
      </c>
      <c r="E4" s="4">
        <v>6</v>
      </c>
      <c r="F4" s="4">
        <v>90</v>
      </c>
      <c r="G4" s="4">
        <v>540</v>
      </c>
    </row>
    <row r="5" spans="2:7" x14ac:dyDescent="0.3">
      <c r="B5" s="80"/>
      <c r="C5" s="85" t="s">
        <v>10</v>
      </c>
      <c r="D5" s="3" t="s">
        <v>11</v>
      </c>
      <c r="E5" s="4">
        <v>3</v>
      </c>
      <c r="F5" s="4">
        <v>40</v>
      </c>
      <c r="G5" s="4">
        <v>120</v>
      </c>
    </row>
    <row r="6" spans="2:7" x14ac:dyDescent="0.3">
      <c r="B6" s="80"/>
      <c r="C6" s="80"/>
      <c r="D6" s="3" t="s">
        <v>12</v>
      </c>
      <c r="E6" s="4">
        <v>2</v>
      </c>
      <c r="F6" s="4">
        <v>20</v>
      </c>
      <c r="G6" s="4">
        <v>40</v>
      </c>
    </row>
    <row r="7" spans="2:7" x14ac:dyDescent="0.3">
      <c r="B7" s="84">
        <v>45965</v>
      </c>
      <c r="C7" s="2" t="s">
        <v>6</v>
      </c>
      <c r="D7" s="3" t="s">
        <v>13</v>
      </c>
      <c r="E7" s="4">
        <v>5</v>
      </c>
      <c r="F7" s="4">
        <v>40</v>
      </c>
      <c r="G7" s="4">
        <v>200</v>
      </c>
    </row>
    <row r="8" spans="2:7" x14ac:dyDescent="0.3">
      <c r="B8" s="80"/>
      <c r="C8" s="2" t="s">
        <v>8</v>
      </c>
      <c r="D8" s="3" t="s">
        <v>14</v>
      </c>
      <c r="E8" s="4">
        <v>6</v>
      </c>
      <c r="F8" s="4">
        <v>90</v>
      </c>
      <c r="G8" s="4">
        <v>540</v>
      </c>
    </row>
    <row r="9" spans="2:7" x14ac:dyDescent="0.3">
      <c r="B9" s="80"/>
      <c r="C9" s="85" t="s">
        <v>10</v>
      </c>
      <c r="D9" s="3" t="s">
        <v>15</v>
      </c>
      <c r="E9" s="4">
        <v>7</v>
      </c>
      <c r="F9" s="4">
        <v>30</v>
      </c>
      <c r="G9" s="4">
        <v>210</v>
      </c>
    </row>
    <row r="10" spans="2:7" x14ac:dyDescent="0.3">
      <c r="B10" s="80"/>
      <c r="C10" s="80"/>
      <c r="D10" s="3" t="s">
        <v>12</v>
      </c>
      <c r="E10" s="4">
        <v>5</v>
      </c>
      <c r="F10" s="4">
        <v>20</v>
      </c>
      <c r="G10" s="4">
        <v>100</v>
      </c>
    </row>
    <row r="11" spans="2:7" x14ac:dyDescent="0.3">
      <c r="B11" s="84">
        <v>45966</v>
      </c>
      <c r="C11" s="2" t="s">
        <v>6</v>
      </c>
      <c r="D11" s="3" t="s">
        <v>12</v>
      </c>
      <c r="E11" s="4">
        <v>17</v>
      </c>
      <c r="F11" s="4">
        <v>20</v>
      </c>
      <c r="G11" s="4">
        <v>340</v>
      </c>
    </row>
    <row r="12" spans="2:7" x14ac:dyDescent="0.3">
      <c r="B12" s="80"/>
      <c r="C12" s="2" t="s">
        <v>8</v>
      </c>
      <c r="D12" s="3" t="s">
        <v>16</v>
      </c>
      <c r="E12" s="4">
        <v>6</v>
      </c>
      <c r="F12" s="4">
        <v>50</v>
      </c>
      <c r="G12" s="4">
        <v>300</v>
      </c>
    </row>
    <row r="13" spans="2:7" x14ac:dyDescent="0.3">
      <c r="B13" s="80"/>
      <c r="C13" s="85" t="s">
        <v>10</v>
      </c>
      <c r="D13" s="3" t="s">
        <v>17</v>
      </c>
      <c r="E13" s="4">
        <v>9</v>
      </c>
      <c r="F13" s="4">
        <v>30</v>
      </c>
      <c r="G13" s="4">
        <v>270</v>
      </c>
    </row>
    <row r="14" spans="2:7" x14ac:dyDescent="0.3">
      <c r="B14" s="80"/>
      <c r="C14" s="80"/>
      <c r="D14" s="3" t="s">
        <v>18</v>
      </c>
      <c r="E14" s="4">
        <v>2</v>
      </c>
      <c r="F14" s="4">
        <v>15</v>
      </c>
      <c r="G14" s="4">
        <v>30</v>
      </c>
    </row>
    <row r="15" spans="2:7" x14ac:dyDescent="0.3">
      <c r="B15" s="80"/>
      <c r="C15" s="80"/>
      <c r="D15" s="3" t="s">
        <v>19</v>
      </c>
      <c r="E15" s="4">
        <v>3</v>
      </c>
      <c r="F15" s="4">
        <v>20</v>
      </c>
      <c r="G15" s="4">
        <v>60</v>
      </c>
    </row>
    <row r="16" spans="2:7" x14ac:dyDescent="0.3">
      <c r="B16" s="84">
        <v>45967</v>
      </c>
      <c r="C16" s="2" t="s">
        <v>6</v>
      </c>
      <c r="D16" s="3" t="s">
        <v>20</v>
      </c>
      <c r="E16" s="4">
        <v>21</v>
      </c>
      <c r="F16" s="4">
        <v>8</v>
      </c>
      <c r="G16" s="4">
        <v>168</v>
      </c>
    </row>
    <row r="17" spans="2:7" x14ac:dyDescent="0.3">
      <c r="B17" s="80"/>
      <c r="C17" s="85" t="s">
        <v>8</v>
      </c>
      <c r="D17" s="3" t="s">
        <v>21</v>
      </c>
      <c r="E17" s="4">
        <v>6</v>
      </c>
      <c r="F17" s="4">
        <v>50</v>
      </c>
      <c r="G17" s="4">
        <v>300</v>
      </c>
    </row>
    <row r="18" spans="2:7" x14ac:dyDescent="0.3">
      <c r="B18" s="80"/>
      <c r="C18" s="80"/>
      <c r="D18" s="3" t="s">
        <v>22</v>
      </c>
      <c r="E18" s="4">
        <v>2</v>
      </c>
      <c r="F18" s="4">
        <v>10</v>
      </c>
      <c r="G18" s="4">
        <v>20</v>
      </c>
    </row>
    <row r="19" spans="2:7" x14ac:dyDescent="0.3">
      <c r="B19" s="80"/>
      <c r="C19" s="85" t="s">
        <v>10</v>
      </c>
      <c r="D19" s="3" t="s">
        <v>23</v>
      </c>
      <c r="E19" s="4">
        <v>6</v>
      </c>
      <c r="F19" s="4">
        <v>25</v>
      </c>
      <c r="G19" s="4">
        <v>150</v>
      </c>
    </row>
    <row r="20" spans="2:7" x14ac:dyDescent="0.3">
      <c r="B20" s="80"/>
      <c r="C20" s="80"/>
      <c r="D20" s="3" t="s">
        <v>12</v>
      </c>
      <c r="E20" s="4">
        <v>2</v>
      </c>
      <c r="F20" s="4">
        <v>20</v>
      </c>
      <c r="G20" s="4">
        <v>40</v>
      </c>
    </row>
    <row r="21" spans="2:7" x14ac:dyDescent="0.3">
      <c r="B21" s="84">
        <v>45968</v>
      </c>
      <c r="C21" s="2" t="s">
        <v>6</v>
      </c>
      <c r="D21" s="3" t="s">
        <v>24</v>
      </c>
      <c r="E21" s="4">
        <v>16</v>
      </c>
      <c r="F21" s="4">
        <v>20</v>
      </c>
      <c r="G21" s="4">
        <v>320</v>
      </c>
    </row>
    <row r="22" spans="2:7" x14ac:dyDescent="0.3">
      <c r="B22" s="80"/>
      <c r="C22" s="2" t="s">
        <v>8</v>
      </c>
      <c r="D22" s="3" t="s">
        <v>25</v>
      </c>
      <c r="E22" s="4">
        <v>9</v>
      </c>
      <c r="F22" s="4">
        <v>190</v>
      </c>
      <c r="G22" s="4">
        <v>1710</v>
      </c>
    </row>
    <row r="23" spans="2:7" x14ac:dyDescent="0.3">
      <c r="B23" s="80"/>
      <c r="C23" s="85" t="s">
        <v>10</v>
      </c>
      <c r="D23" s="3" t="s">
        <v>15</v>
      </c>
      <c r="E23" s="4">
        <v>4</v>
      </c>
      <c r="F23" s="4">
        <v>30</v>
      </c>
      <c r="G23" s="4">
        <v>120</v>
      </c>
    </row>
    <row r="24" spans="2:7" x14ac:dyDescent="0.3">
      <c r="B24" s="80"/>
      <c r="C24" s="80"/>
      <c r="D24" s="3" t="s">
        <v>12</v>
      </c>
      <c r="E24" s="4">
        <v>2</v>
      </c>
      <c r="F24" s="4">
        <v>20</v>
      </c>
      <c r="G24" s="4">
        <v>40</v>
      </c>
    </row>
    <row r="25" spans="2:7" x14ac:dyDescent="0.3">
      <c r="B25" s="84">
        <v>45971</v>
      </c>
      <c r="C25" s="2" t="s">
        <v>6</v>
      </c>
      <c r="D25" s="3" t="s">
        <v>12</v>
      </c>
      <c r="E25" s="4">
        <v>17</v>
      </c>
      <c r="F25" s="4">
        <v>20</v>
      </c>
      <c r="G25" s="4">
        <v>340</v>
      </c>
    </row>
    <row r="26" spans="2:7" x14ac:dyDescent="0.3">
      <c r="B26" s="80"/>
      <c r="C26" s="2" t="s">
        <v>8</v>
      </c>
      <c r="D26" s="3" t="s">
        <v>9</v>
      </c>
      <c r="E26" s="4">
        <v>7</v>
      </c>
      <c r="F26" s="4">
        <v>90</v>
      </c>
      <c r="G26" s="4">
        <v>630</v>
      </c>
    </row>
    <row r="27" spans="2:7" x14ac:dyDescent="0.3">
      <c r="B27" s="80"/>
      <c r="C27" s="85" t="s">
        <v>10</v>
      </c>
      <c r="D27" s="3" t="s">
        <v>26</v>
      </c>
      <c r="E27" s="4">
        <v>4</v>
      </c>
      <c r="F27" s="4">
        <v>40</v>
      </c>
      <c r="G27" s="4">
        <v>160</v>
      </c>
    </row>
    <row r="28" spans="2:7" x14ac:dyDescent="0.3">
      <c r="B28" s="80"/>
      <c r="C28" s="80"/>
      <c r="D28" s="3" t="s">
        <v>12</v>
      </c>
      <c r="E28" s="4">
        <v>3</v>
      </c>
      <c r="F28" s="4">
        <v>20</v>
      </c>
      <c r="G28" s="4">
        <v>60</v>
      </c>
    </row>
    <row r="29" spans="2:7" x14ac:dyDescent="0.3">
      <c r="B29" s="80"/>
      <c r="C29" s="80"/>
      <c r="D29" s="3" t="s">
        <v>11</v>
      </c>
      <c r="E29" s="4">
        <v>1</v>
      </c>
      <c r="F29" s="4">
        <v>40</v>
      </c>
      <c r="G29" s="4">
        <v>40</v>
      </c>
    </row>
    <row r="30" spans="2:7" x14ac:dyDescent="0.3">
      <c r="B30" s="80"/>
      <c r="C30" s="80"/>
      <c r="D30" s="3" t="s">
        <v>15</v>
      </c>
      <c r="E30" s="4">
        <v>1</v>
      </c>
      <c r="F30" s="4">
        <v>30</v>
      </c>
      <c r="G30" s="4">
        <v>30</v>
      </c>
    </row>
    <row r="31" spans="2:7" x14ac:dyDescent="0.3">
      <c r="B31" s="84">
        <v>45972</v>
      </c>
      <c r="C31" s="2" t="s">
        <v>6</v>
      </c>
      <c r="D31" s="3" t="s">
        <v>20</v>
      </c>
      <c r="E31" s="4">
        <v>24</v>
      </c>
      <c r="F31" s="4">
        <v>8</v>
      </c>
      <c r="G31" s="4">
        <v>192</v>
      </c>
    </row>
    <row r="32" spans="2:7" x14ac:dyDescent="0.3">
      <c r="B32" s="80"/>
      <c r="C32" s="2" t="s">
        <v>8</v>
      </c>
      <c r="D32" s="3" t="s">
        <v>16</v>
      </c>
      <c r="E32" s="4">
        <v>7</v>
      </c>
      <c r="F32" s="4">
        <v>50</v>
      </c>
      <c r="G32" s="4">
        <v>350</v>
      </c>
    </row>
    <row r="33" spans="2:7" x14ac:dyDescent="0.3">
      <c r="B33" s="80"/>
      <c r="C33" s="85" t="s">
        <v>10</v>
      </c>
      <c r="D33" s="3" t="s">
        <v>27</v>
      </c>
      <c r="E33" s="4">
        <v>4</v>
      </c>
      <c r="F33" s="4">
        <v>50</v>
      </c>
      <c r="G33" s="4">
        <v>200</v>
      </c>
    </row>
    <row r="34" spans="2:7" x14ac:dyDescent="0.3">
      <c r="B34" s="80"/>
      <c r="C34" s="80"/>
      <c r="D34" s="3" t="s">
        <v>12</v>
      </c>
      <c r="E34" s="4">
        <v>6</v>
      </c>
      <c r="F34" s="4">
        <v>20</v>
      </c>
      <c r="G34" s="4">
        <v>120</v>
      </c>
    </row>
    <row r="35" spans="2:7" x14ac:dyDescent="0.3">
      <c r="B35" s="84">
        <v>45973</v>
      </c>
      <c r="C35" s="85" t="s">
        <v>6</v>
      </c>
      <c r="D35" s="3" t="s">
        <v>13</v>
      </c>
      <c r="E35" s="4">
        <v>5</v>
      </c>
      <c r="F35" s="4">
        <v>40</v>
      </c>
      <c r="G35" s="4">
        <v>200</v>
      </c>
    </row>
    <row r="36" spans="2:7" x14ac:dyDescent="0.3">
      <c r="B36" s="80"/>
      <c r="C36" s="80"/>
      <c r="D36" s="3" t="s">
        <v>28</v>
      </c>
      <c r="E36" s="4">
        <v>3</v>
      </c>
      <c r="F36" s="4">
        <v>5</v>
      </c>
      <c r="G36" s="4">
        <v>15</v>
      </c>
    </row>
    <row r="37" spans="2:7" x14ac:dyDescent="0.3">
      <c r="B37" s="80"/>
      <c r="C37" s="85" t="s">
        <v>8</v>
      </c>
      <c r="D37" s="3" t="s">
        <v>29</v>
      </c>
      <c r="E37" s="4">
        <v>7</v>
      </c>
      <c r="F37" s="4">
        <v>50</v>
      </c>
      <c r="G37" s="4">
        <v>350</v>
      </c>
    </row>
    <row r="38" spans="2:7" x14ac:dyDescent="0.3">
      <c r="B38" s="80"/>
      <c r="C38" s="80"/>
      <c r="D38" s="3" t="s">
        <v>30</v>
      </c>
      <c r="E38" s="4">
        <v>10</v>
      </c>
      <c r="F38" s="4">
        <v>10</v>
      </c>
      <c r="G38" s="4">
        <v>100</v>
      </c>
    </row>
    <row r="39" spans="2:7" x14ac:dyDescent="0.3">
      <c r="B39" s="80"/>
      <c r="C39" s="2" t="s">
        <v>10</v>
      </c>
      <c r="D39" s="3" t="s">
        <v>15</v>
      </c>
      <c r="E39" s="4">
        <v>8</v>
      </c>
      <c r="F39" s="4">
        <v>30</v>
      </c>
      <c r="G39" s="4">
        <v>240</v>
      </c>
    </row>
    <row r="40" spans="2:7" x14ac:dyDescent="0.3">
      <c r="B40" s="84">
        <v>45974</v>
      </c>
      <c r="C40" s="2" t="s">
        <v>6</v>
      </c>
      <c r="D40" s="3" t="s">
        <v>12</v>
      </c>
      <c r="E40" s="4">
        <v>18</v>
      </c>
      <c r="F40" s="4">
        <v>20</v>
      </c>
      <c r="G40" s="4">
        <v>360</v>
      </c>
    </row>
    <row r="41" spans="2:7" x14ac:dyDescent="0.3">
      <c r="B41" s="80"/>
      <c r="C41" s="2" t="s">
        <v>8</v>
      </c>
      <c r="D41" s="3" t="s">
        <v>31</v>
      </c>
      <c r="E41" s="4">
        <v>9</v>
      </c>
      <c r="F41" s="4">
        <v>200</v>
      </c>
      <c r="G41" s="4">
        <v>1800</v>
      </c>
    </row>
    <row r="42" spans="2:7" x14ac:dyDescent="0.3">
      <c r="B42" s="80"/>
      <c r="C42" s="85" t="s">
        <v>10</v>
      </c>
      <c r="D42" s="3" t="s">
        <v>26</v>
      </c>
      <c r="E42" s="4">
        <v>4</v>
      </c>
      <c r="F42" s="4">
        <v>40</v>
      </c>
      <c r="G42" s="4">
        <v>160</v>
      </c>
    </row>
    <row r="43" spans="2:7" x14ac:dyDescent="0.3">
      <c r="B43" s="80"/>
      <c r="C43" s="80"/>
      <c r="D43" s="3" t="s">
        <v>15</v>
      </c>
      <c r="E43" s="4">
        <v>1</v>
      </c>
      <c r="F43" s="4">
        <v>30</v>
      </c>
      <c r="G43" s="4">
        <v>30</v>
      </c>
    </row>
    <row r="44" spans="2:7" x14ac:dyDescent="0.3">
      <c r="B44" s="84">
        <v>45975</v>
      </c>
      <c r="C44" s="2" t="s">
        <v>6</v>
      </c>
      <c r="D44" s="3" t="s">
        <v>15</v>
      </c>
      <c r="E44" s="4">
        <v>14</v>
      </c>
      <c r="F44" s="4">
        <v>30</v>
      </c>
      <c r="G44" s="4">
        <v>420</v>
      </c>
    </row>
    <row r="45" spans="2:7" x14ac:dyDescent="0.3">
      <c r="B45" s="80"/>
      <c r="C45" s="85" t="s">
        <v>8</v>
      </c>
      <c r="D45" s="3" t="s">
        <v>16</v>
      </c>
      <c r="E45" s="4">
        <v>7</v>
      </c>
      <c r="F45" s="4">
        <v>50</v>
      </c>
      <c r="G45" s="4">
        <v>350</v>
      </c>
    </row>
    <row r="46" spans="2:7" x14ac:dyDescent="0.3">
      <c r="B46" s="80"/>
      <c r="C46" s="80"/>
      <c r="D46" s="3" t="s">
        <v>18</v>
      </c>
      <c r="E46" s="4">
        <v>3</v>
      </c>
      <c r="F46" s="4">
        <v>15</v>
      </c>
      <c r="G46" s="4">
        <v>45</v>
      </c>
    </row>
    <row r="47" spans="2:7" x14ac:dyDescent="0.3">
      <c r="B47" s="80"/>
      <c r="C47" s="86" t="s">
        <v>10</v>
      </c>
      <c r="D47" s="3" t="s">
        <v>11</v>
      </c>
      <c r="E47" s="4">
        <v>2</v>
      </c>
      <c r="F47" s="4">
        <v>40</v>
      </c>
      <c r="G47" s="4">
        <v>80</v>
      </c>
    </row>
    <row r="48" spans="2:7" x14ac:dyDescent="0.3">
      <c r="B48" s="80"/>
      <c r="C48" s="80"/>
      <c r="D48" s="3" t="s">
        <v>32</v>
      </c>
      <c r="E48" s="4">
        <v>3</v>
      </c>
      <c r="F48" s="4">
        <v>20</v>
      </c>
      <c r="G48" s="4">
        <v>60</v>
      </c>
    </row>
    <row r="49" spans="2:7" x14ac:dyDescent="0.3">
      <c r="B49" s="84">
        <v>45978</v>
      </c>
      <c r="C49" s="2" t="s">
        <v>6</v>
      </c>
      <c r="D49" s="3" t="s">
        <v>20</v>
      </c>
      <c r="E49" s="4">
        <v>17</v>
      </c>
      <c r="F49" s="4">
        <v>8</v>
      </c>
      <c r="G49" s="4">
        <v>136</v>
      </c>
    </row>
    <row r="50" spans="2:7" x14ac:dyDescent="0.3">
      <c r="B50" s="80"/>
      <c r="C50" s="2" t="s">
        <v>8</v>
      </c>
      <c r="D50" s="3" t="s">
        <v>9</v>
      </c>
      <c r="E50" s="4">
        <v>6</v>
      </c>
      <c r="F50" s="4">
        <v>90</v>
      </c>
      <c r="G50" s="4">
        <v>540</v>
      </c>
    </row>
    <row r="51" spans="2:7" x14ac:dyDescent="0.3">
      <c r="B51" s="84">
        <v>45979</v>
      </c>
      <c r="C51" s="2" t="s">
        <v>6</v>
      </c>
      <c r="D51" s="3" t="s">
        <v>13</v>
      </c>
      <c r="E51" s="4">
        <v>4</v>
      </c>
      <c r="F51" s="4">
        <v>40</v>
      </c>
      <c r="G51" s="4">
        <v>160</v>
      </c>
    </row>
    <row r="52" spans="2:7" x14ac:dyDescent="0.3">
      <c r="B52" s="80"/>
      <c r="C52" s="2" t="s">
        <v>8</v>
      </c>
      <c r="D52" s="3" t="s">
        <v>33</v>
      </c>
      <c r="E52" s="4">
        <v>7</v>
      </c>
      <c r="F52" s="4">
        <v>50</v>
      </c>
      <c r="G52" s="4">
        <v>350</v>
      </c>
    </row>
    <row r="53" spans="2:7" x14ac:dyDescent="0.3">
      <c r="B53" s="80"/>
      <c r="C53" s="85" t="s">
        <v>10</v>
      </c>
      <c r="D53" s="3" t="s">
        <v>34</v>
      </c>
      <c r="E53" s="4">
        <v>2</v>
      </c>
      <c r="F53" s="4">
        <v>50</v>
      </c>
      <c r="G53" s="4">
        <v>100</v>
      </c>
    </row>
    <row r="54" spans="2:7" x14ac:dyDescent="0.3">
      <c r="B54" s="80"/>
      <c r="C54" s="80"/>
      <c r="D54" s="3" t="s">
        <v>15</v>
      </c>
      <c r="E54" s="4">
        <v>4</v>
      </c>
      <c r="F54" s="4">
        <v>30</v>
      </c>
      <c r="G54" s="4">
        <v>120</v>
      </c>
    </row>
    <row r="55" spans="2:7" x14ac:dyDescent="0.3">
      <c r="B55" s="84">
        <v>45980</v>
      </c>
      <c r="C55" s="2" t="s">
        <v>6</v>
      </c>
      <c r="D55" s="3" t="s">
        <v>24</v>
      </c>
      <c r="E55" s="4">
        <v>14</v>
      </c>
      <c r="F55" s="4">
        <v>20</v>
      </c>
      <c r="G55" s="4">
        <v>280</v>
      </c>
    </row>
    <row r="56" spans="2:7" x14ac:dyDescent="0.3">
      <c r="B56" s="80"/>
      <c r="C56" s="2" t="s">
        <v>8</v>
      </c>
      <c r="D56" s="3" t="s">
        <v>35</v>
      </c>
      <c r="E56" s="4">
        <v>7</v>
      </c>
      <c r="F56" s="4">
        <v>60</v>
      </c>
      <c r="G56" s="4">
        <v>420</v>
      </c>
    </row>
    <row r="57" spans="2:7" x14ac:dyDescent="0.3">
      <c r="B57" s="80"/>
      <c r="C57" s="2" t="s">
        <v>10</v>
      </c>
      <c r="D57" s="3" t="s">
        <v>27</v>
      </c>
      <c r="E57" s="4">
        <v>5</v>
      </c>
      <c r="F57" s="4">
        <v>50</v>
      </c>
      <c r="G57" s="4">
        <v>250</v>
      </c>
    </row>
    <row r="58" spans="2:7" x14ac:dyDescent="0.3">
      <c r="B58" s="84">
        <v>45981</v>
      </c>
      <c r="C58" s="2" t="s">
        <v>6</v>
      </c>
      <c r="D58" s="3" t="s">
        <v>20</v>
      </c>
      <c r="E58" s="4">
        <v>22</v>
      </c>
      <c r="F58" s="4">
        <v>8</v>
      </c>
      <c r="G58" s="4">
        <v>176</v>
      </c>
    </row>
    <row r="59" spans="2:7" x14ac:dyDescent="0.3">
      <c r="B59" s="80"/>
      <c r="C59" s="2" t="s">
        <v>8</v>
      </c>
      <c r="D59" s="3" t="s">
        <v>31</v>
      </c>
      <c r="E59" s="4">
        <v>10</v>
      </c>
      <c r="F59" s="4">
        <v>200</v>
      </c>
      <c r="G59" s="4">
        <v>2000</v>
      </c>
    </row>
    <row r="60" spans="2:7" x14ac:dyDescent="0.3">
      <c r="B60" s="80"/>
      <c r="C60" s="85" t="s">
        <v>10</v>
      </c>
      <c r="D60" s="3" t="s">
        <v>15</v>
      </c>
      <c r="E60" s="4">
        <v>11</v>
      </c>
      <c r="F60" s="4">
        <v>30</v>
      </c>
      <c r="G60" s="4">
        <v>330</v>
      </c>
    </row>
    <row r="61" spans="2:7" x14ac:dyDescent="0.3">
      <c r="B61" s="80"/>
      <c r="C61" s="80"/>
      <c r="D61" s="3" t="s">
        <v>36</v>
      </c>
      <c r="E61" s="4">
        <v>5</v>
      </c>
      <c r="F61" s="4">
        <v>15</v>
      </c>
      <c r="G61" s="4">
        <v>75</v>
      </c>
    </row>
    <row r="62" spans="2:7" x14ac:dyDescent="0.3">
      <c r="B62" s="84">
        <v>45982</v>
      </c>
      <c r="C62" s="2" t="s">
        <v>6</v>
      </c>
      <c r="D62" s="3" t="s">
        <v>24</v>
      </c>
      <c r="E62" s="4">
        <v>12</v>
      </c>
      <c r="F62" s="4">
        <v>20</v>
      </c>
      <c r="G62" s="4">
        <v>240</v>
      </c>
    </row>
    <row r="63" spans="2:7" x14ac:dyDescent="0.3">
      <c r="B63" s="80"/>
      <c r="C63" s="2" t="s">
        <v>8</v>
      </c>
      <c r="D63" s="3" t="s">
        <v>37</v>
      </c>
      <c r="E63" s="4">
        <v>7</v>
      </c>
      <c r="F63" s="4">
        <v>80</v>
      </c>
      <c r="G63" s="4">
        <v>560</v>
      </c>
    </row>
    <row r="64" spans="2:7" x14ac:dyDescent="0.3">
      <c r="B64" s="80"/>
      <c r="C64" s="85" t="s">
        <v>10</v>
      </c>
      <c r="D64" s="3" t="s">
        <v>24</v>
      </c>
      <c r="E64" s="4">
        <v>5</v>
      </c>
      <c r="F64" s="4">
        <v>20</v>
      </c>
      <c r="G64" s="4">
        <v>100</v>
      </c>
    </row>
    <row r="65" spans="2:7" x14ac:dyDescent="0.3">
      <c r="B65" s="80"/>
      <c r="C65" s="80"/>
      <c r="D65" s="3" t="s">
        <v>12</v>
      </c>
      <c r="E65" s="4">
        <v>8</v>
      </c>
      <c r="F65" s="4">
        <v>20</v>
      </c>
      <c r="G65" s="4">
        <v>160</v>
      </c>
    </row>
    <row r="66" spans="2:7" x14ac:dyDescent="0.3">
      <c r="B66" s="84">
        <v>45985</v>
      </c>
      <c r="C66" s="85" t="s">
        <v>6</v>
      </c>
      <c r="D66" s="3" t="s">
        <v>20</v>
      </c>
      <c r="E66" s="4">
        <v>15</v>
      </c>
      <c r="F66" s="4">
        <v>8</v>
      </c>
      <c r="G66" s="4">
        <v>120</v>
      </c>
    </row>
    <row r="67" spans="2:7" x14ac:dyDescent="0.3">
      <c r="B67" s="80"/>
      <c r="C67" s="80"/>
      <c r="D67" s="3" t="s">
        <v>9</v>
      </c>
      <c r="E67" s="4">
        <v>4</v>
      </c>
      <c r="F67" s="4">
        <v>90</v>
      </c>
      <c r="G67" s="4">
        <v>360</v>
      </c>
    </row>
    <row r="68" spans="2:7" x14ac:dyDescent="0.3">
      <c r="B68" s="80"/>
      <c r="C68" s="2" t="s">
        <v>8</v>
      </c>
      <c r="D68" s="3" t="s">
        <v>12</v>
      </c>
      <c r="E68" s="4">
        <v>5</v>
      </c>
      <c r="F68" s="4">
        <v>20</v>
      </c>
      <c r="G68" s="4">
        <v>100</v>
      </c>
    </row>
    <row r="69" spans="2:7" x14ac:dyDescent="0.3">
      <c r="B69" s="80"/>
      <c r="C69" s="2" t="s">
        <v>10</v>
      </c>
      <c r="D69" s="3" t="s">
        <v>18</v>
      </c>
      <c r="E69" s="4">
        <v>2</v>
      </c>
      <c r="F69" s="4">
        <v>30</v>
      </c>
      <c r="G69" s="4">
        <v>60</v>
      </c>
    </row>
    <row r="70" spans="2:7" x14ac:dyDescent="0.3">
      <c r="B70" s="84">
        <v>45986</v>
      </c>
      <c r="C70" s="2" t="s">
        <v>6</v>
      </c>
      <c r="D70" s="3" t="s">
        <v>12</v>
      </c>
      <c r="E70" s="4">
        <v>12</v>
      </c>
      <c r="F70" s="4">
        <v>20</v>
      </c>
      <c r="G70" s="4">
        <v>240</v>
      </c>
    </row>
    <row r="71" spans="2:7" x14ac:dyDescent="0.3">
      <c r="B71" s="80"/>
      <c r="C71" s="2" t="s">
        <v>8</v>
      </c>
      <c r="D71" s="3" t="s">
        <v>33</v>
      </c>
      <c r="E71" s="4">
        <v>5</v>
      </c>
      <c r="F71" s="4">
        <v>50</v>
      </c>
      <c r="G71" s="4">
        <v>250</v>
      </c>
    </row>
    <row r="72" spans="2:7" x14ac:dyDescent="0.3">
      <c r="B72" s="80"/>
      <c r="C72" s="2" t="s">
        <v>10</v>
      </c>
      <c r="D72" s="3" t="s">
        <v>24</v>
      </c>
      <c r="E72" s="4">
        <v>5</v>
      </c>
      <c r="F72" s="4">
        <v>20</v>
      </c>
      <c r="G72" s="4">
        <v>100</v>
      </c>
    </row>
    <row r="73" spans="2:7" x14ac:dyDescent="0.3">
      <c r="B73" s="84">
        <v>45987</v>
      </c>
      <c r="C73" s="2" t="s">
        <v>6</v>
      </c>
      <c r="D73" s="3" t="s">
        <v>24</v>
      </c>
      <c r="E73" s="4">
        <v>10</v>
      </c>
      <c r="F73" s="4">
        <v>20</v>
      </c>
      <c r="G73" s="4">
        <v>200</v>
      </c>
    </row>
    <row r="74" spans="2:7" x14ac:dyDescent="0.3">
      <c r="B74" s="80"/>
      <c r="C74" s="2" t="s">
        <v>8</v>
      </c>
      <c r="D74" s="3" t="s">
        <v>35</v>
      </c>
      <c r="E74" s="4">
        <v>5</v>
      </c>
      <c r="F74" s="4">
        <v>60</v>
      </c>
      <c r="G74" s="4">
        <v>300</v>
      </c>
    </row>
    <row r="75" spans="2:7" x14ac:dyDescent="0.3">
      <c r="B75" s="84">
        <v>45988</v>
      </c>
      <c r="C75" s="2" t="s">
        <v>6</v>
      </c>
      <c r="D75" s="3" t="s">
        <v>20</v>
      </c>
      <c r="E75" s="4">
        <v>11</v>
      </c>
      <c r="F75" s="4">
        <v>8</v>
      </c>
      <c r="G75" s="4">
        <v>88</v>
      </c>
    </row>
    <row r="76" spans="2:7" x14ac:dyDescent="0.3">
      <c r="B76" s="80"/>
      <c r="C76" s="85" t="s">
        <v>8</v>
      </c>
      <c r="D76" s="3" t="s">
        <v>21</v>
      </c>
      <c r="E76" s="4">
        <v>3</v>
      </c>
      <c r="F76" s="4">
        <v>50</v>
      </c>
      <c r="G76" s="4">
        <v>150</v>
      </c>
    </row>
    <row r="77" spans="2:7" x14ac:dyDescent="0.3">
      <c r="B77" s="80"/>
      <c r="C77" s="80"/>
      <c r="D77" s="3" t="s">
        <v>38</v>
      </c>
      <c r="E77" s="4">
        <v>1</v>
      </c>
      <c r="F77" s="4">
        <v>50</v>
      </c>
      <c r="G77" s="4">
        <v>50</v>
      </c>
    </row>
    <row r="78" spans="2:7" x14ac:dyDescent="0.3">
      <c r="B78" s="80"/>
      <c r="C78" s="2" t="s">
        <v>10</v>
      </c>
      <c r="D78" s="3" t="s">
        <v>12</v>
      </c>
      <c r="E78" s="4">
        <v>6</v>
      </c>
      <c r="F78" s="4">
        <v>20</v>
      </c>
      <c r="G78" s="4">
        <v>120</v>
      </c>
    </row>
    <row r="79" spans="2:7" x14ac:dyDescent="0.3">
      <c r="B79" s="84">
        <v>45989</v>
      </c>
      <c r="C79" s="2" t="s">
        <v>6</v>
      </c>
      <c r="D79" s="3" t="s">
        <v>15</v>
      </c>
      <c r="E79" s="4">
        <v>10</v>
      </c>
      <c r="F79" s="4">
        <v>30</v>
      </c>
      <c r="G79" s="4">
        <v>300</v>
      </c>
    </row>
    <row r="80" spans="2:7" x14ac:dyDescent="0.3">
      <c r="B80" s="80"/>
      <c r="C80" s="2" t="s">
        <v>8</v>
      </c>
      <c r="D80" s="3" t="s">
        <v>31</v>
      </c>
      <c r="E80" s="4">
        <v>6</v>
      </c>
      <c r="F80" s="4">
        <v>190</v>
      </c>
      <c r="G80" s="4">
        <v>1140</v>
      </c>
    </row>
    <row r="81" spans="2:7" x14ac:dyDescent="0.3">
      <c r="B81" s="80"/>
      <c r="C81" s="5" t="s">
        <v>10</v>
      </c>
      <c r="D81" s="3" t="s">
        <v>12</v>
      </c>
      <c r="E81" s="4">
        <v>5</v>
      </c>
      <c r="F81" s="4">
        <v>20</v>
      </c>
      <c r="G81" s="4">
        <v>100</v>
      </c>
    </row>
    <row r="82" spans="2:7" x14ac:dyDescent="0.3">
      <c r="B82" s="82">
        <v>46034</v>
      </c>
      <c r="C82" s="6" t="s">
        <v>6</v>
      </c>
      <c r="D82" s="7" t="s">
        <v>39</v>
      </c>
      <c r="E82" s="7">
        <v>18</v>
      </c>
      <c r="F82" s="7">
        <v>8</v>
      </c>
      <c r="G82" s="7">
        <v>144</v>
      </c>
    </row>
    <row r="83" spans="2:7" x14ac:dyDescent="0.3">
      <c r="B83" s="80"/>
      <c r="C83" s="6" t="s">
        <v>8</v>
      </c>
      <c r="D83" s="7" t="s">
        <v>40</v>
      </c>
      <c r="E83" s="7">
        <v>5</v>
      </c>
      <c r="F83" s="7">
        <v>90</v>
      </c>
      <c r="G83" s="7">
        <v>450</v>
      </c>
    </row>
    <row r="84" spans="2:7" x14ac:dyDescent="0.3">
      <c r="B84" s="80"/>
      <c r="C84" s="6" t="s">
        <v>10</v>
      </c>
      <c r="D84" s="7" t="s">
        <v>41</v>
      </c>
      <c r="E84" s="7">
        <v>3</v>
      </c>
      <c r="F84" s="7">
        <v>20</v>
      </c>
      <c r="G84" s="7">
        <v>60</v>
      </c>
    </row>
    <row r="85" spans="2:7" x14ac:dyDescent="0.3">
      <c r="B85" s="82">
        <v>46065</v>
      </c>
      <c r="C85" s="6" t="s">
        <v>6</v>
      </c>
      <c r="D85" s="7" t="s">
        <v>42</v>
      </c>
      <c r="E85" s="7">
        <v>12</v>
      </c>
      <c r="F85" s="7">
        <v>20</v>
      </c>
      <c r="G85" s="7">
        <v>240</v>
      </c>
    </row>
    <row r="86" spans="2:7" x14ac:dyDescent="0.3">
      <c r="B86" s="80"/>
      <c r="C86" s="79" t="s">
        <v>8</v>
      </c>
      <c r="D86" s="7" t="s">
        <v>43</v>
      </c>
      <c r="E86" s="7">
        <v>5</v>
      </c>
      <c r="F86" s="7">
        <v>100</v>
      </c>
      <c r="G86" s="7">
        <v>500</v>
      </c>
    </row>
    <row r="87" spans="2:7" x14ac:dyDescent="0.3">
      <c r="B87" s="80"/>
      <c r="C87" s="80"/>
      <c r="D87" s="7" t="s">
        <v>44</v>
      </c>
      <c r="E87" s="7">
        <v>7</v>
      </c>
      <c r="F87" s="7">
        <v>20</v>
      </c>
      <c r="G87" s="7">
        <v>140</v>
      </c>
    </row>
    <row r="88" spans="2:7" x14ac:dyDescent="0.3">
      <c r="B88" s="80"/>
      <c r="C88" s="79" t="s">
        <v>10</v>
      </c>
      <c r="D88" s="7" t="s">
        <v>41</v>
      </c>
      <c r="E88" s="7">
        <v>3</v>
      </c>
      <c r="F88" s="7">
        <v>20</v>
      </c>
      <c r="G88" s="7">
        <v>60</v>
      </c>
    </row>
    <row r="89" spans="2:7" x14ac:dyDescent="0.3">
      <c r="B89" s="80"/>
      <c r="C89" s="80"/>
      <c r="D89" s="7" t="s">
        <v>45</v>
      </c>
      <c r="E89" s="7">
        <v>2</v>
      </c>
      <c r="F89" s="7">
        <v>30</v>
      </c>
      <c r="G89" s="7">
        <v>60</v>
      </c>
    </row>
    <row r="90" spans="2:7" x14ac:dyDescent="0.3">
      <c r="B90" s="82">
        <v>46093</v>
      </c>
      <c r="C90" s="6" t="s">
        <v>6</v>
      </c>
      <c r="D90" s="7" t="s">
        <v>41</v>
      </c>
      <c r="E90" s="7">
        <v>13</v>
      </c>
      <c r="F90" s="7">
        <v>20</v>
      </c>
      <c r="G90" s="7">
        <v>260</v>
      </c>
    </row>
    <row r="91" spans="2:7" x14ac:dyDescent="0.3">
      <c r="B91" s="80"/>
      <c r="C91" s="6" t="s">
        <v>8</v>
      </c>
      <c r="D91" s="7" t="s">
        <v>46</v>
      </c>
      <c r="E91" s="7">
        <v>5</v>
      </c>
      <c r="F91" s="7">
        <v>50</v>
      </c>
      <c r="G91" s="7">
        <v>250</v>
      </c>
    </row>
    <row r="92" spans="2:7" x14ac:dyDescent="0.3">
      <c r="B92" s="80"/>
      <c r="C92" s="6" t="s">
        <v>10</v>
      </c>
      <c r="D92" s="7" t="s">
        <v>41</v>
      </c>
      <c r="E92" s="7">
        <v>5</v>
      </c>
      <c r="F92" s="7">
        <v>20</v>
      </c>
      <c r="G92" s="7">
        <v>100</v>
      </c>
    </row>
    <row r="93" spans="2:7" x14ac:dyDescent="0.3">
      <c r="B93" s="82">
        <v>46124</v>
      </c>
      <c r="C93" s="6" t="s">
        <v>6</v>
      </c>
      <c r="D93" s="7" t="s">
        <v>39</v>
      </c>
      <c r="E93" s="7">
        <v>20</v>
      </c>
      <c r="F93" s="7">
        <v>8</v>
      </c>
      <c r="G93" s="7">
        <v>160</v>
      </c>
    </row>
    <row r="94" spans="2:7" x14ac:dyDescent="0.3">
      <c r="B94" s="80"/>
      <c r="C94" s="6" t="s">
        <v>8</v>
      </c>
      <c r="D94" s="7" t="s">
        <v>47</v>
      </c>
      <c r="E94" s="7">
        <v>8</v>
      </c>
      <c r="F94" s="7">
        <v>200</v>
      </c>
      <c r="G94" s="7">
        <v>1600</v>
      </c>
    </row>
    <row r="95" spans="2:7" x14ac:dyDescent="0.3">
      <c r="B95" s="80"/>
      <c r="C95" s="79" t="s">
        <v>10</v>
      </c>
      <c r="D95" s="7" t="s">
        <v>45</v>
      </c>
      <c r="E95" s="7">
        <v>3</v>
      </c>
      <c r="F95" s="7">
        <v>30</v>
      </c>
      <c r="G95" s="7">
        <v>90</v>
      </c>
    </row>
    <row r="96" spans="2:7" x14ac:dyDescent="0.3">
      <c r="B96" s="80"/>
      <c r="C96" s="80"/>
      <c r="D96" s="7" t="s">
        <v>48</v>
      </c>
      <c r="E96" s="7">
        <v>2</v>
      </c>
      <c r="F96" s="7">
        <v>25</v>
      </c>
      <c r="G96" s="7">
        <v>50</v>
      </c>
    </row>
    <row r="97" spans="2:7" x14ac:dyDescent="0.3">
      <c r="B97" s="82">
        <v>46154</v>
      </c>
      <c r="C97" s="6" t="s">
        <v>6</v>
      </c>
      <c r="D97" s="7" t="s">
        <v>42</v>
      </c>
      <c r="E97" s="7">
        <v>14</v>
      </c>
      <c r="F97" s="7">
        <v>20</v>
      </c>
      <c r="G97" s="7">
        <v>280</v>
      </c>
    </row>
    <row r="98" spans="2:7" x14ac:dyDescent="0.3">
      <c r="B98" s="80"/>
      <c r="C98" s="6" t="s">
        <v>8</v>
      </c>
      <c r="D98" s="7" t="s">
        <v>49</v>
      </c>
      <c r="E98" s="7">
        <v>5</v>
      </c>
      <c r="F98" s="7">
        <v>50</v>
      </c>
      <c r="G98" s="7">
        <v>250</v>
      </c>
    </row>
    <row r="99" spans="2:7" x14ac:dyDescent="0.3">
      <c r="B99" s="80"/>
      <c r="C99" s="79" t="s">
        <v>10</v>
      </c>
      <c r="D99" s="7" t="s">
        <v>45</v>
      </c>
      <c r="E99" s="7">
        <v>5</v>
      </c>
      <c r="F99" s="7">
        <v>30</v>
      </c>
      <c r="G99" s="7">
        <v>150</v>
      </c>
    </row>
    <row r="100" spans="2:7" x14ac:dyDescent="0.3">
      <c r="B100" s="80"/>
      <c r="C100" s="80"/>
      <c r="D100" s="7" t="s">
        <v>50</v>
      </c>
      <c r="E100" s="7">
        <v>2</v>
      </c>
      <c r="F100" s="7">
        <v>20</v>
      </c>
      <c r="G100" s="7">
        <v>40</v>
      </c>
    </row>
    <row r="101" spans="2:7" x14ac:dyDescent="0.3">
      <c r="B101" s="82">
        <v>46246</v>
      </c>
      <c r="C101" s="6" t="s">
        <v>6</v>
      </c>
      <c r="D101" s="7" t="s">
        <v>42</v>
      </c>
      <c r="E101" s="7">
        <v>14</v>
      </c>
      <c r="F101" s="7">
        <v>20</v>
      </c>
      <c r="G101" s="7">
        <v>280</v>
      </c>
    </row>
    <row r="102" spans="2:7" x14ac:dyDescent="0.3">
      <c r="B102" s="80"/>
      <c r="C102" s="6" t="s">
        <v>8</v>
      </c>
      <c r="D102" s="7" t="s">
        <v>40</v>
      </c>
      <c r="E102" s="7">
        <v>6</v>
      </c>
      <c r="F102" s="7">
        <v>90</v>
      </c>
      <c r="G102" s="7">
        <v>540</v>
      </c>
    </row>
    <row r="103" spans="2:7" x14ac:dyDescent="0.3">
      <c r="B103" s="80"/>
      <c r="C103" s="6" t="s">
        <v>10</v>
      </c>
      <c r="D103" s="7" t="s">
        <v>41</v>
      </c>
      <c r="E103" s="7">
        <v>6</v>
      </c>
      <c r="F103" s="7">
        <v>20</v>
      </c>
      <c r="G103" s="7">
        <v>120</v>
      </c>
    </row>
    <row r="104" spans="2:7" x14ac:dyDescent="0.3">
      <c r="B104" s="82">
        <v>46277</v>
      </c>
      <c r="C104" s="6" t="s">
        <v>6</v>
      </c>
      <c r="D104" s="7" t="s">
        <v>39</v>
      </c>
      <c r="E104" s="7">
        <v>24</v>
      </c>
      <c r="F104" s="7">
        <v>8</v>
      </c>
      <c r="G104" s="7">
        <v>192</v>
      </c>
    </row>
    <row r="105" spans="2:7" x14ac:dyDescent="0.3">
      <c r="B105" s="80"/>
      <c r="C105" s="6" t="s">
        <v>8</v>
      </c>
      <c r="D105" s="7" t="s">
        <v>46</v>
      </c>
      <c r="E105" s="7">
        <v>6</v>
      </c>
      <c r="F105" s="7">
        <v>60</v>
      </c>
      <c r="G105" s="7">
        <v>360</v>
      </c>
    </row>
    <row r="106" spans="2:7" x14ac:dyDescent="0.3">
      <c r="B106" s="80"/>
      <c r="C106" s="79" t="s">
        <v>10</v>
      </c>
      <c r="D106" s="7" t="s">
        <v>51</v>
      </c>
      <c r="E106" s="7">
        <v>3</v>
      </c>
      <c r="F106" s="7">
        <v>50</v>
      </c>
      <c r="G106" s="7">
        <v>150</v>
      </c>
    </row>
    <row r="107" spans="2:7" x14ac:dyDescent="0.3">
      <c r="B107" s="80"/>
      <c r="C107" s="80"/>
      <c r="D107" s="7" t="s">
        <v>41</v>
      </c>
      <c r="E107" s="7">
        <v>3</v>
      </c>
      <c r="F107" s="7">
        <v>20</v>
      </c>
      <c r="G107" s="7">
        <v>60</v>
      </c>
    </row>
    <row r="108" spans="2:7" x14ac:dyDescent="0.3">
      <c r="B108" s="82">
        <v>46307</v>
      </c>
      <c r="C108" s="6" t="s">
        <v>6</v>
      </c>
      <c r="D108" s="7" t="s">
        <v>51</v>
      </c>
      <c r="E108" s="7">
        <v>5</v>
      </c>
      <c r="F108" s="7">
        <v>50</v>
      </c>
      <c r="G108" s="7">
        <v>250</v>
      </c>
    </row>
    <row r="109" spans="2:7" x14ac:dyDescent="0.3">
      <c r="B109" s="80"/>
      <c r="C109" s="6" t="s">
        <v>8</v>
      </c>
      <c r="D109" s="7" t="s">
        <v>52</v>
      </c>
      <c r="E109" s="7">
        <v>5</v>
      </c>
      <c r="F109" s="7">
        <v>90</v>
      </c>
      <c r="G109" s="7">
        <v>450</v>
      </c>
    </row>
    <row r="110" spans="2:7" x14ac:dyDescent="0.3">
      <c r="B110" s="80"/>
      <c r="C110" s="79" t="s">
        <v>10</v>
      </c>
      <c r="D110" s="7" t="s">
        <v>45</v>
      </c>
      <c r="E110" s="7">
        <v>4</v>
      </c>
      <c r="F110" s="7">
        <v>30</v>
      </c>
      <c r="G110" s="7">
        <v>120</v>
      </c>
    </row>
    <row r="111" spans="2:7" x14ac:dyDescent="0.3">
      <c r="B111" s="80"/>
      <c r="C111" s="80"/>
      <c r="D111" s="7" t="s">
        <v>41</v>
      </c>
      <c r="E111" s="7">
        <v>3</v>
      </c>
      <c r="F111" s="7">
        <v>20</v>
      </c>
      <c r="G111" s="7">
        <v>60</v>
      </c>
    </row>
    <row r="112" spans="2:7" x14ac:dyDescent="0.3">
      <c r="B112" s="82">
        <v>46338</v>
      </c>
      <c r="C112" s="6" t="s">
        <v>6</v>
      </c>
      <c r="D112" s="7" t="s">
        <v>53</v>
      </c>
      <c r="E112" s="7">
        <v>5</v>
      </c>
      <c r="F112" s="7">
        <v>40</v>
      </c>
      <c r="G112" s="7">
        <v>200</v>
      </c>
    </row>
    <row r="113" spans="2:7" x14ac:dyDescent="0.3">
      <c r="B113" s="80"/>
      <c r="C113" s="6" t="s">
        <v>8</v>
      </c>
      <c r="D113" s="7" t="s">
        <v>47</v>
      </c>
      <c r="E113" s="7">
        <v>8</v>
      </c>
      <c r="F113" s="7">
        <v>200</v>
      </c>
      <c r="G113" s="7">
        <v>1600</v>
      </c>
    </row>
    <row r="114" spans="2:7" x14ac:dyDescent="0.3">
      <c r="B114" s="80"/>
      <c r="C114" s="6" t="s">
        <v>10</v>
      </c>
      <c r="D114" s="7" t="s">
        <v>54</v>
      </c>
      <c r="E114" s="7">
        <v>3</v>
      </c>
      <c r="F114" s="7">
        <v>5</v>
      </c>
      <c r="G114" s="7">
        <v>15</v>
      </c>
    </row>
    <row r="115" spans="2:7" x14ac:dyDescent="0.3">
      <c r="B115" s="82">
        <v>46368</v>
      </c>
      <c r="C115" s="6" t="s">
        <v>6</v>
      </c>
      <c r="D115" s="7" t="s">
        <v>42</v>
      </c>
      <c r="E115" s="7">
        <v>13</v>
      </c>
      <c r="F115" s="7">
        <v>20</v>
      </c>
      <c r="G115" s="7">
        <v>260</v>
      </c>
    </row>
    <row r="116" spans="2:7" x14ac:dyDescent="0.3">
      <c r="B116" s="80"/>
      <c r="C116" s="6" t="s">
        <v>8</v>
      </c>
      <c r="D116" s="7" t="s">
        <v>49</v>
      </c>
      <c r="E116" s="7">
        <v>5</v>
      </c>
      <c r="F116" s="7">
        <v>60</v>
      </c>
      <c r="G116" s="7">
        <v>300</v>
      </c>
    </row>
    <row r="117" spans="2:7" x14ac:dyDescent="0.3">
      <c r="B117" s="80"/>
      <c r="C117" s="79" t="s">
        <v>10</v>
      </c>
      <c r="D117" s="7" t="s">
        <v>55</v>
      </c>
      <c r="E117" s="7">
        <v>2</v>
      </c>
      <c r="F117" s="7">
        <v>60</v>
      </c>
      <c r="G117" s="7">
        <v>120</v>
      </c>
    </row>
    <row r="118" spans="2:7" x14ac:dyDescent="0.3">
      <c r="B118" s="80"/>
      <c r="C118" s="80"/>
      <c r="D118" s="7" t="s">
        <v>56</v>
      </c>
      <c r="E118" s="7">
        <v>3</v>
      </c>
      <c r="F118" s="7">
        <v>20</v>
      </c>
      <c r="G118" s="7">
        <v>60</v>
      </c>
    </row>
    <row r="119" spans="2:7" x14ac:dyDescent="0.3">
      <c r="B119" s="79" t="s">
        <v>57</v>
      </c>
      <c r="C119" s="6" t="s">
        <v>6</v>
      </c>
      <c r="D119" s="7" t="s">
        <v>42</v>
      </c>
      <c r="E119" s="7">
        <v>12</v>
      </c>
      <c r="F119" s="7">
        <v>20</v>
      </c>
      <c r="G119" s="7">
        <v>240</v>
      </c>
    </row>
    <row r="120" spans="2:7" x14ac:dyDescent="0.3">
      <c r="B120" s="80"/>
      <c r="C120" s="79" t="s">
        <v>8</v>
      </c>
      <c r="D120" s="7" t="s">
        <v>40</v>
      </c>
      <c r="E120" s="7">
        <v>6</v>
      </c>
      <c r="F120" s="7">
        <v>90</v>
      </c>
      <c r="G120" s="7">
        <v>540</v>
      </c>
    </row>
    <row r="121" spans="2:7" x14ac:dyDescent="0.3">
      <c r="B121" s="80"/>
      <c r="C121" s="80"/>
      <c r="D121" s="7" t="s">
        <v>58</v>
      </c>
      <c r="E121" s="7">
        <v>2</v>
      </c>
      <c r="F121" s="7">
        <v>30</v>
      </c>
      <c r="G121" s="7">
        <v>60</v>
      </c>
    </row>
    <row r="122" spans="2:7" x14ac:dyDescent="0.3">
      <c r="B122" s="80"/>
      <c r="C122" s="79" t="s">
        <v>10</v>
      </c>
      <c r="D122" s="7" t="s">
        <v>55</v>
      </c>
      <c r="E122" s="7">
        <v>3</v>
      </c>
      <c r="F122" s="7">
        <v>50</v>
      </c>
      <c r="G122" s="7">
        <v>150</v>
      </c>
    </row>
    <row r="123" spans="2:7" x14ac:dyDescent="0.3">
      <c r="B123" s="80"/>
      <c r="C123" s="80"/>
      <c r="D123" s="7" t="s">
        <v>56</v>
      </c>
      <c r="E123" s="7">
        <v>2</v>
      </c>
      <c r="F123" s="7">
        <v>20</v>
      </c>
      <c r="G123" s="7">
        <v>40</v>
      </c>
    </row>
    <row r="124" spans="2:7" x14ac:dyDescent="0.3">
      <c r="B124" s="79" t="s">
        <v>59</v>
      </c>
      <c r="C124" s="9" t="s">
        <v>6</v>
      </c>
      <c r="D124" s="7" t="s">
        <v>41</v>
      </c>
      <c r="E124" s="7">
        <v>12</v>
      </c>
      <c r="F124" s="7">
        <v>20</v>
      </c>
      <c r="G124" s="7">
        <v>240</v>
      </c>
    </row>
    <row r="125" spans="2:7" x14ac:dyDescent="0.3">
      <c r="B125" s="80"/>
      <c r="C125" s="83" t="s">
        <v>8</v>
      </c>
      <c r="D125" s="7" t="s">
        <v>60</v>
      </c>
      <c r="E125" s="7">
        <v>6</v>
      </c>
      <c r="F125" s="7">
        <v>50</v>
      </c>
      <c r="G125" s="7">
        <v>300</v>
      </c>
    </row>
    <row r="126" spans="2:7" x14ac:dyDescent="0.3">
      <c r="B126" s="80"/>
      <c r="C126" s="80"/>
      <c r="D126" s="10" t="s">
        <v>61</v>
      </c>
      <c r="E126" s="7">
        <v>6</v>
      </c>
      <c r="F126" s="7">
        <v>10</v>
      </c>
      <c r="G126" s="7">
        <v>60</v>
      </c>
    </row>
    <row r="127" spans="2:7" x14ac:dyDescent="0.3">
      <c r="B127" s="80"/>
      <c r="C127" s="83" t="s">
        <v>10</v>
      </c>
      <c r="D127" s="10" t="s">
        <v>41</v>
      </c>
      <c r="E127" s="7">
        <v>2</v>
      </c>
      <c r="F127" s="7">
        <v>20</v>
      </c>
      <c r="G127" s="7">
        <v>40</v>
      </c>
    </row>
    <row r="128" spans="2:7" x14ac:dyDescent="0.3">
      <c r="B128" s="80"/>
      <c r="C128" s="80"/>
      <c r="D128" s="10" t="s">
        <v>45</v>
      </c>
      <c r="E128" s="7">
        <v>4</v>
      </c>
      <c r="F128" s="7">
        <v>30</v>
      </c>
      <c r="G128" s="7">
        <v>120</v>
      </c>
    </row>
    <row r="129" spans="2:7" x14ac:dyDescent="0.3">
      <c r="B129" s="79" t="s">
        <v>62</v>
      </c>
      <c r="C129" s="83" t="s">
        <v>6</v>
      </c>
      <c r="D129" s="7" t="s">
        <v>39</v>
      </c>
      <c r="E129" s="7">
        <v>14</v>
      </c>
      <c r="F129" s="7">
        <v>8</v>
      </c>
      <c r="G129" s="7">
        <v>112</v>
      </c>
    </row>
    <row r="130" spans="2:7" x14ac:dyDescent="0.3">
      <c r="B130" s="80"/>
      <c r="C130" s="80"/>
      <c r="D130" s="7" t="s">
        <v>42</v>
      </c>
      <c r="E130" s="7">
        <v>2</v>
      </c>
      <c r="F130" s="7">
        <v>20</v>
      </c>
      <c r="G130" s="7">
        <v>40</v>
      </c>
    </row>
    <row r="131" spans="2:7" x14ac:dyDescent="0.3">
      <c r="B131" s="80"/>
      <c r="C131" s="4" t="s">
        <v>8</v>
      </c>
      <c r="D131" s="7" t="s">
        <v>63</v>
      </c>
      <c r="E131" s="7">
        <v>4</v>
      </c>
      <c r="F131" s="7">
        <v>90</v>
      </c>
      <c r="G131" s="7">
        <v>360</v>
      </c>
    </row>
    <row r="132" spans="2:7" x14ac:dyDescent="0.3">
      <c r="B132" s="80"/>
      <c r="C132" s="9" t="s">
        <v>10</v>
      </c>
      <c r="D132" s="7" t="s">
        <v>41</v>
      </c>
      <c r="E132" s="7">
        <v>6</v>
      </c>
      <c r="F132" s="7">
        <v>20</v>
      </c>
      <c r="G132" s="7">
        <v>120</v>
      </c>
    </row>
    <row r="133" spans="2:7" x14ac:dyDescent="0.3">
      <c r="B133" s="79" t="s">
        <v>64</v>
      </c>
      <c r="C133" s="6" t="s">
        <v>6</v>
      </c>
      <c r="D133" s="7" t="s">
        <v>65</v>
      </c>
      <c r="E133" s="7">
        <v>8</v>
      </c>
      <c r="F133" s="7">
        <v>20</v>
      </c>
      <c r="G133" s="7">
        <v>160</v>
      </c>
    </row>
    <row r="134" spans="2:7" x14ac:dyDescent="0.3">
      <c r="B134" s="80"/>
      <c r="C134" s="6" t="s">
        <v>8</v>
      </c>
      <c r="D134" s="7" t="s">
        <v>47</v>
      </c>
      <c r="E134" s="7">
        <v>5</v>
      </c>
      <c r="F134" s="7">
        <v>200</v>
      </c>
      <c r="G134" s="7">
        <v>1000</v>
      </c>
    </row>
    <row r="135" spans="2:7" x14ac:dyDescent="0.3">
      <c r="B135" s="80"/>
      <c r="C135" s="79" t="s">
        <v>10</v>
      </c>
      <c r="D135" s="7" t="s">
        <v>41</v>
      </c>
      <c r="E135" s="7">
        <v>5</v>
      </c>
      <c r="F135" s="7">
        <v>20</v>
      </c>
      <c r="G135" s="7">
        <v>100</v>
      </c>
    </row>
    <row r="136" spans="2:7" x14ac:dyDescent="0.3">
      <c r="B136" s="80"/>
      <c r="C136" s="80"/>
      <c r="D136" s="7" t="s">
        <v>42</v>
      </c>
      <c r="E136" s="7">
        <v>2</v>
      </c>
      <c r="F136" s="7">
        <v>20</v>
      </c>
      <c r="G136" s="7">
        <v>40</v>
      </c>
    </row>
    <row r="137" spans="2:7" x14ac:dyDescent="0.3">
      <c r="B137" s="79" t="s">
        <v>66</v>
      </c>
      <c r="C137" s="6" t="s">
        <v>6</v>
      </c>
      <c r="D137" s="7" t="s">
        <v>41</v>
      </c>
      <c r="E137" s="7">
        <v>12</v>
      </c>
      <c r="F137" s="7">
        <v>20</v>
      </c>
      <c r="G137" s="7">
        <v>240</v>
      </c>
    </row>
    <row r="138" spans="2:7" x14ac:dyDescent="0.3">
      <c r="B138" s="80"/>
      <c r="C138" s="79" t="s">
        <v>8</v>
      </c>
      <c r="D138" s="7" t="s">
        <v>67</v>
      </c>
      <c r="E138" s="7">
        <v>4</v>
      </c>
      <c r="F138" s="7">
        <v>80</v>
      </c>
      <c r="G138" s="7">
        <v>320</v>
      </c>
    </row>
    <row r="139" spans="2:7" x14ac:dyDescent="0.3">
      <c r="B139" s="80"/>
      <c r="C139" s="80"/>
      <c r="D139" s="10" t="s">
        <v>68</v>
      </c>
      <c r="E139" s="7">
        <v>3</v>
      </c>
      <c r="F139" s="7">
        <v>15</v>
      </c>
      <c r="G139" s="7">
        <v>45</v>
      </c>
    </row>
    <row r="140" spans="2:7" x14ac:dyDescent="0.3">
      <c r="B140" s="80"/>
      <c r="C140" s="6" t="s">
        <v>10</v>
      </c>
      <c r="D140" s="10" t="s">
        <v>45</v>
      </c>
      <c r="E140" s="7">
        <v>5</v>
      </c>
      <c r="F140" s="7">
        <v>30</v>
      </c>
      <c r="G140" s="7">
        <v>150</v>
      </c>
    </row>
    <row r="141" spans="2:7" x14ac:dyDescent="0.3">
      <c r="B141" s="79" t="s">
        <v>69</v>
      </c>
      <c r="C141" s="6" t="s">
        <v>6</v>
      </c>
      <c r="D141" s="7" t="s">
        <v>41</v>
      </c>
      <c r="E141" s="7">
        <v>12</v>
      </c>
      <c r="F141" s="7">
        <v>20</v>
      </c>
      <c r="G141" s="7">
        <v>240</v>
      </c>
    </row>
    <row r="142" spans="2:7" x14ac:dyDescent="0.3">
      <c r="B142" s="80"/>
      <c r="C142" s="81" t="s">
        <v>8</v>
      </c>
      <c r="D142" s="7" t="s">
        <v>63</v>
      </c>
      <c r="E142" s="7">
        <v>4</v>
      </c>
      <c r="F142" s="7">
        <v>90</v>
      </c>
      <c r="G142" s="7">
        <v>360</v>
      </c>
    </row>
    <row r="143" spans="2:7" x14ac:dyDescent="0.3">
      <c r="B143" s="80"/>
      <c r="C143" s="80"/>
      <c r="D143" s="7" t="s">
        <v>70</v>
      </c>
      <c r="E143" s="7">
        <v>2</v>
      </c>
      <c r="F143" s="7">
        <v>30</v>
      </c>
      <c r="G143" s="7">
        <v>60</v>
      </c>
    </row>
    <row r="144" spans="2:7" x14ac:dyDescent="0.3">
      <c r="B144" s="80"/>
      <c r="C144" s="79" t="s">
        <v>10</v>
      </c>
      <c r="D144" s="7" t="s">
        <v>39</v>
      </c>
      <c r="E144" s="7">
        <v>7</v>
      </c>
      <c r="F144" s="7">
        <v>8</v>
      </c>
      <c r="G144" s="7">
        <v>56</v>
      </c>
    </row>
    <row r="145" spans="2:7" x14ac:dyDescent="0.3">
      <c r="B145" s="80"/>
      <c r="C145" s="80"/>
      <c r="D145" s="7" t="s">
        <v>41</v>
      </c>
      <c r="E145" s="7">
        <v>3</v>
      </c>
      <c r="F145" s="7">
        <v>20</v>
      </c>
      <c r="G145" s="7">
        <v>60</v>
      </c>
    </row>
    <row r="146" spans="2:7" x14ac:dyDescent="0.3">
      <c r="B146" s="79" t="s">
        <v>71</v>
      </c>
      <c r="C146" s="79" t="s">
        <v>6</v>
      </c>
      <c r="D146" s="7" t="s">
        <v>72</v>
      </c>
      <c r="E146" s="7">
        <v>6</v>
      </c>
      <c r="F146" s="7">
        <v>25</v>
      </c>
      <c r="G146" s="7">
        <v>150</v>
      </c>
    </row>
    <row r="147" spans="2:7" x14ac:dyDescent="0.3">
      <c r="B147" s="80"/>
      <c r="C147" s="80"/>
      <c r="D147" s="7" t="s">
        <v>42</v>
      </c>
      <c r="E147" s="7">
        <v>6</v>
      </c>
      <c r="F147" s="7">
        <v>20</v>
      </c>
      <c r="G147" s="7">
        <v>120</v>
      </c>
    </row>
    <row r="148" spans="2:7" x14ac:dyDescent="0.3">
      <c r="B148" s="80"/>
      <c r="C148" s="79" t="s">
        <v>8</v>
      </c>
      <c r="D148" s="7" t="s">
        <v>73</v>
      </c>
      <c r="E148" s="7">
        <v>5</v>
      </c>
      <c r="F148" s="7">
        <v>100</v>
      </c>
      <c r="G148" s="7">
        <v>500</v>
      </c>
    </row>
    <row r="149" spans="2:7" x14ac:dyDescent="0.3">
      <c r="B149" s="80"/>
      <c r="C149" s="80"/>
      <c r="D149" s="7" t="s">
        <v>68</v>
      </c>
      <c r="E149" s="7">
        <v>2</v>
      </c>
      <c r="F149" s="7">
        <v>15</v>
      </c>
      <c r="G149" s="7">
        <v>30</v>
      </c>
    </row>
    <row r="150" spans="2:7" x14ac:dyDescent="0.3">
      <c r="B150" s="80"/>
      <c r="C150" s="79" t="s">
        <v>10</v>
      </c>
      <c r="D150" s="7" t="s">
        <v>41</v>
      </c>
      <c r="E150" s="7">
        <v>3</v>
      </c>
      <c r="F150" s="7">
        <v>20</v>
      </c>
      <c r="G150" s="7">
        <v>60</v>
      </c>
    </row>
    <row r="151" spans="2:7" x14ac:dyDescent="0.3">
      <c r="B151" s="80"/>
      <c r="C151" s="80"/>
      <c r="D151" s="7" t="s">
        <v>45</v>
      </c>
      <c r="E151" s="7">
        <v>4</v>
      </c>
      <c r="F151" s="7">
        <v>30</v>
      </c>
      <c r="G151" s="7">
        <v>120</v>
      </c>
    </row>
    <row r="152" spans="2:7" x14ac:dyDescent="0.3">
      <c r="B152" s="8" t="s">
        <v>74</v>
      </c>
      <c r="C152" s="6" t="s">
        <v>10</v>
      </c>
      <c r="D152" s="7" t="s">
        <v>42</v>
      </c>
      <c r="E152" s="7">
        <v>12</v>
      </c>
      <c r="F152" s="7">
        <v>20</v>
      </c>
      <c r="G152" s="7">
        <v>240</v>
      </c>
    </row>
    <row r="153" spans="2:7" x14ac:dyDescent="0.3">
      <c r="B153" s="79" t="s">
        <v>75</v>
      </c>
      <c r="C153" s="6" t="s">
        <v>6</v>
      </c>
      <c r="D153" s="7" t="s">
        <v>42</v>
      </c>
      <c r="E153" s="7">
        <v>12</v>
      </c>
      <c r="F153" s="7">
        <v>20</v>
      </c>
      <c r="G153" s="7">
        <v>240</v>
      </c>
    </row>
    <row r="154" spans="2:7" x14ac:dyDescent="0.3">
      <c r="B154" s="80"/>
      <c r="C154" s="79" t="s">
        <v>8</v>
      </c>
      <c r="D154" s="7" t="s">
        <v>63</v>
      </c>
      <c r="E154" s="7">
        <v>5</v>
      </c>
      <c r="F154" s="7">
        <v>90</v>
      </c>
      <c r="G154" s="7">
        <v>450</v>
      </c>
    </row>
    <row r="155" spans="2:7" x14ac:dyDescent="0.3">
      <c r="B155" s="80"/>
      <c r="C155" s="80"/>
      <c r="D155" s="10" t="s">
        <v>70</v>
      </c>
      <c r="E155" s="7">
        <v>3</v>
      </c>
      <c r="F155" s="7">
        <v>30</v>
      </c>
      <c r="G155" s="7">
        <v>90</v>
      </c>
    </row>
    <row r="156" spans="2:7" x14ac:dyDescent="0.3">
      <c r="B156" s="80"/>
      <c r="C156" s="79" t="s">
        <v>10</v>
      </c>
      <c r="D156" s="10" t="s">
        <v>45</v>
      </c>
      <c r="E156" s="7">
        <v>2</v>
      </c>
      <c r="F156" s="7">
        <v>30</v>
      </c>
      <c r="G156" s="7">
        <v>60</v>
      </c>
    </row>
    <row r="157" spans="2:7" x14ac:dyDescent="0.3">
      <c r="B157" s="80"/>
      <c r="C157" s="80"/>
      <c r="D157" s="10" t="s">
        <v>41</v>
      </c>
      <c r="E157" s="7">
        <v>5</v>
      </c>
      <c r="F157" s="7">
        <v>20</v>
      </c>
      <c r="G157" s="7">
        <v>100</v>
      </c>
    </row>
    <row r="158" spans="2:7" x14ac:dyDescent="0.3">
      <c r="B158" s="79" t="s">
        <v>76</v>
      </c>
      <c r="C158" s="6" t="s">
        <v>6</v>
      </c>
      <c r="D158" s="7" t="s">
        <v>41</v>
      </c>
      <c r="E158" s="7">
        <v>12</v>
      </c>
      <c r="F158" s="7">
        <v>20</v>
      </c>
      <c r="G158" s="7">
        <v>240</v>
      </c>
    </row>
    <row r="159" spans="2:7" x14ac:dyDescent="0.3">
      <c r="B159" s="80"/>
      <c r="C159" s="6" t="s">
        <v>8</v>
      </c>
      <c r="D159" s="7" t="s">
        <v>49</v>
      </c>
      <c r="E159" s="7">
        <v>5</v>
      </c>
      <c r="F159" s="7">
        <v>60</v>
      </c>
      <c r="G159" s="7">
        <v>300</v>
      </c>
    </row>
    <row r="160" spans="2:7" x14ac:dyDescent="0.3">
      <c r="B160" s="80"/>
      <c r="C160" s="79" t="s">
        <v>10</v>
      </c>
      <c r="D160" s="7" t="s">
        <v>41</v>
      </c>
      <c r="E160" s="7">
        <v>3</v>
      </c>
      <c r="F160" s="7">
        <v>20</v>
      </c>
      <c r="G160" s="7">
        <v>60</v>
      </c>
    </row>
    <row r="161" spans="2:7" x14ac:dyDescent="0.3">
      <c r="B161" s="80"/>
      <c r="C161" s="80"/>
      <c r="D161" s="7" t="s">
        <v>39</v>
      </c>
      <c r="E161" s="7">
        <v>6</v>
      </c>
      <c r="F161" s="7">
        <v>8</v>
      </c>
      <c r="G161" s="7">
        <v>48</v>
      </c>
    </row>
    <row r="162" spans="2:7" x14ac:dyDescent="0.3">
      <c r="B162" s="79" t="s">
        <v>77</v>
      </c>
      <c r="C162" s="79" t="s">
        <v>6</v>
      </c>
      <c r="D162" s="7" t="s">
        <v>72</v>
      </c>
      <c r="E162" s="7">
        <v>6</v>
      </c>
      <c r="F162" s="7">
        <v>25</v>
      </c>
      <c r="G162" s="7">
        <v>150</v>
      </c>
    </row>
    <row r="163" spans="2:7" x14ac:dyDescent="0.3">
      <c r="B163" s="80"/>
      <c r="C163" s="80"/>
      <c r="D163" s="7" t="s">
        <v>42</v>
      </c>
      <c r="E163" s="7">
        <v>6</v>
      </c>
      <c r="F163" s="7">
        <v>20</v>
      </c>
      <c r="G163" s="7">
        <v>120</v>
      </c>
    </row>
    <row r="164" spans="2:7" x14ac:dyDescent="0.3">
      <c r="B164" s="80"/>
      <c r="C164" s="6" t="s">
        <v>8</v>
      </c>
      <c r="D164" s="7" t="s">
        <v>78</v>
      </c>
      <c r="E164" s="7">
        <v>6</v>
      </c>
      <c r="F164" s="7">
        <v>110</v>
      </c>
      <c r="G164" s="7">
        <v>660</v>
      </c>
    </row>
    <row r="165" spans="2:7" ht="15.6" x14ac:dyDescent="0.3">
      <c r="B165" s="77">
        <v>46024</v>
      </c>
      <c r="C165" s="78" t="s">
        <v>79</v>
      </c>
      <c r="D165" s="12" t="s">
        <v>80</v>
      </c>
      <c r="E165" s="12">
        <v>6</v>
      </c>
      <c r="F165" s="12">
        <v>25</v>
      </c>
      <c r="G165" s="12">
        <f>E165*F165</f>
        <v>150</v>
      </c>
    </row>
    <row r="166" spans="2:7" ht="15.6" x14ac:dyDescent="0.3">
      <c r="B166" s="77"/>
      <c r="C166" s="78"/>
      <c r="D166" s="12" t="s">
        <v>81</v>
      </c>
      <c r="E166" s="12">
        <v>6</v>
      </c>
      <c r="F166" s="12">
        <v>20</v>
      </c>
      <c r="G166" s="12">
        <f t="shared" ref="G166:G205" si="0">E166*F166</f>
        <v>120</v>
      </c>
    </row>
    <row r="167" spans="2:7" ht="15.6" x14ac:dyDescent="0.3">
      <c r="B167" s="77"/>
      <c r="C167" s="78" t="s">
        <v>82</v>
      </c>
      <c r="D167" s="12" t="s">
        <v>83</v>
      </c>
      <c r="E167" s="12">
        <v>5</v>
      </c>
      <c r="F167" s="12">
        <v>90</v>
      </c>
      <c r="G167" s="12">
        <f t="shared" si="0"/>
        <v>450</v>
      </c>
    </row>
    <row r="168" spans="2:7" ht="15.6" x14ac:dyDescent="0.3">
      <c r="B168" s="77"/>
      <c r="C168" s="78"/>
      <c r="D168" s="12" t="s">
        <v>70</v>
      </c>
      <c r="E168" s="12">
        <v>2</v>
      </c>
      <c r="F168" s="12">
        <v>30</v>
      </c>
      <c r="G168" s="12">
        <f t="shared" si="0"/>
        <v>60</v>
      </c>
    </row>
    <row r="169" spans="2:7" ht="15.6" x14ac:dyDescent="0.3">
      <c r="B169" s="77"/>
      <c r="C169" s="78" t="s">
        <v>84</v>
      </c>
      <c r="D169" s="12" t="s">
        <v>81</v>
      </c>
      <c r="E169" s="12">
        <v>2</v>
      </c>
      <c r="F169" s="12">
        <v>20</v>
      </c>
      <c r="G169" s="12">
        <f t="shared" si="0"/>
        <v>40</v>
      </c>
    </row>
    <row r="170" spans="2:7" ht="15.6" x14ac:dyDescent="0.3">
      <c r="B170" s="77"/>
      <c r="C170" s="78"/>
      <c r="D170" s="12" t="s">
        <v>85</v>
      </c>
      <c r="E170" s="12">
        <v>2</v>
      </c>
      <c r="F170" s="12">
        <v>35</v>
      </c>
      <c r="G170" s="12">
        <f t="shared" si="0"/>
        <v>70</v>
      </c>
    </row>
    <row r="171" spans="2:7" ht="15.6" x14ac:dyDescent="0.3">
      <c r="B171" s="77"/>
      <c r="C171" s="78"/>
      <c r="D171" s="12" t="s">
        <v>41</v>
      </c>
      <c r="E171" s="12">
        <v>3</v>
      </c>
      <c r="F171" s="12">
        <v>25</v>
      </c>
      <c r="G171" s="12">
        <f t="shared" si="0"/>
        <v>75</v>
      </c>
    </row>
    <row r="172" spans="2:7" ht="15.6" x14ac:dyDescent="0.3">
      <c r="B172" s="77">
        <v>46027</v>
      </c>
      <c r="C172" s="12" t="s">
        <v>79</v>
      </c>
      <c r="D172" s="12" t="s">
        <v>39</v>
      </c>
      <c r="E172" s="12">
        <v>20</v>
      </c>
      <c r="F172" s="12">
        <v>8</v>
      </c>
      <c r="G172" s="12">
        <f>E172*F172</f>
        <v>160</v>
      </c>
    </row>
    <row r="173" spans="2:7" ht="15.6" x14ac:dyDescent="0.3">
      <c r="B173" s="77"/>
      <c r="C173" s="78" t="s">
        <v>82</v>
      </c>
      <c r="D173" s="12" t="s">
        <v>83</v>
      </c>
      <c r="E173" s="12">
        <v>5</v>
      </c>
      <c r="F173" s="12">
        <v>90</v>
      </c>
      <c r="G173" s="12">
        <f t="shared" si="0"/>
        <v>450</v>
      </c>
    </row>
    <row r="174" spans="2:7" ht="15.6" x14ac:dyDescent="0.3">
      <c r="B174" s="77"/>
      <c r="C174" s="78"/>
      <c r="D174" s="12" t="s">
        <v>70</v>
      </c>
      <c r="E174" s="12">
        <v>2</v>
      </c>
      <c r="F174" s="12">
        <v>30</v>
      </c>
      <c r="G174" s="12">
        <f t="shared" si="0"/>
        <v>60</v>
      </c>
    </row>
    <row r="175" spans="2:7" ht="15.6" x14ac:dyDescent="0.3">
      <c r="B175" s="77"/>
      <c r="C175" s="78" t="s">
        <v>84</v>
      </c>
      <c r="D175" s="12" t="s">
        <v>86</v>
      </c>
      <c r="E175" s="12">
        <v>6</v>
      </c>
      <c r="F175" s="12">
        <v>30</v>
      </c>
      <c r="G175" s="12">
        <f t="shared" si="0"/>
        <v>180</v>
      </c>
    </row>
    <row r="176" spans="2:7" ht="15.6" x14ac:dyDescent="0.3">
      <c r="B176" s="77"/>
      <c r="C176" s="78"/>
      <c r="D176" s="12" t="s">
        <v>41</v>
      </c>
      <c r="E176" s="12">
        <v>1</v>
      </c>
      <c r="F176" s="12">
        <v>20</v>
      </c>
      <c r="G176" s="12">
        <f t="shared" si="0"/>
        <v>20</v>
      </c>
    </row>
    <row r="177" spans="2:7" ht="15.6" x14ac:dyDescent="0.3">
      <c r="B177" s="77">
        <v>46028</v>
      </c>
      <c r="C177" s="12" t="s">
        <v>79</v>
      </c>
      <c r="D177" s="12" t="s">
        <v>81</v>
      </c>
      <c r="E177" s="12">
        <v>11</v>
      </c>
      <c r="F177" s="12">
        <v>20</v>
      </c>
      <c r="G177" s="12">
        <f t="shared" si="0"/>
        <v>220</v>
      </c>
    </row>
    <row r="178" spans="2:7" ht="15.6" x14ac:dyDescent="0.3">
      <c r="B178" s="77"/>
      <c r="C178" s="12" t="s">
        <v>82</v>
      </c>
      <c r="D178" s="12" t="s">
        <v>87</v>
      </c>
      <c r="E178" s="12">
        <v>4</v>
      </c>
      <c r="F178" s="12">
        <v>130</v>
      </c>
      <c r="G178" s="12">
        <f t="shared" si="0"/>
        <v>520</v>
      </c>
    </row>
    <row r="179" spans="2:7" ht="15.6" x14ac:dyDescent="0.3">
      <c r="B179" s="77"/>
      <c r="C179" s="12" t="s">
        <v>84</v>
      </c>
      <c r="D179" s="12" t="s">
        <v>41</v>
      </c>
      <c r="E179" s="12">
        <v>4</v>
      </c>
      <c r="F179" s="12">
        <v>20</v>
      </c>
      <c r="G179" s="12">
        <f t="shared" si="0"/>
        <v>80</v>
      </c>
    </row>
    <row r="180" spans="2:7" ht="15.6" x14ac:dyDescent="0.3">
      <c r="B180" s="77">
        <v>46029</v>
      </c>
      <c r="C180" s="12" t="s">
        <v>79</v>
      </c>
      <c r="D180" s="12" t="s">
        <v>41</v>
      </c>
      <c r="E180" s="12">
        <v>10</v>
      </c>
      <c r="F180" s="12">
        <v>20</v>
      </c>
      <c r="G180" s="12">
        <f t="shared" si="0"/>
        <v>200</v>
      </c>
    </row>
    <row r="181" spans="2:7" ht="15.6" x14ac:dyDescent="0.3">
      <c r="B181" s="77"/>
      <c r="C181" s="12" t="s">
        <v>82</v>
      </c>
      <c r="D181" s="12" t="s">
        <v>88</v>
      </c>
      <c r="E181" s="12">
        <v>5</v>
      </c>
      <c r="F181" s="12">
        <v>250</v>
      </c>
      <c r="G181" s="12">
        <f t="shared" si="0"/>
        <v>1250</v>
      </c>
    </row>
    <row r="182" spans="2:7" ht="15.6" x14ac:dyDescent="0.3">
      <c r="B182" s="77"/>
      <c r="C182" s="12" t="s">
        <v>84</v>
      </c>
      <c r="D182" s="12" t="s">
        <v>41</v>
      </c>
      <c r="E182" s="12">
        <v>4</v>
      </c>
      <c r="F182" s="12">
        <v>20</v>
      </c>
      <c r="G182" s="12">
        <f t="shared" si="0"/>
        <v>80</v>
      </c>
    </row>
    <row r="183" spans="2:7" ht="15.6" x14ac:dyDescent="0.3">
      <c r="B183" s="77">
        <v>46030</v>
      </c>
      <c r="C183" s="12" t="s">
        <v>79</v>
      </c>
      <c r="D183" s="12" t="s">
        <v>85</v>
      </c>
      <c r="E183" s="12">
        <v>7</v>
      </c>
      <c r="F183" s="12">
        <v>35</v>
      </c>
      <c r="G183" s="12">
        <f t="shared" si="0"/>
        <v>245</v>
      </c>
    </row>
    <row r="184" spans="2:7" ht="15.6" x14ac:dyDescent="0.3">
      <c r="B184" s="77"/>
      <c r="C184" s="78" t="s">
        <v>82</v>
      </c>
      <c r="D184" s="12" t="s">
        <v>89</v>
      </c>
      <c r="E184" s="12">
        <v>1</v>
      </c>
      <c r="F184" s="12">
        <v>40</v>
      </c>
      <c r="G184" s="12">
        <f t="shared" si="0"/>
        <v>40</v>
      </c>
    </row>
    <row r="185" spans="2:7" ht="15.6" x14ac:dyDescent="0.3">
      <c r="B185" s="77"/>
      <c r="C185" s="78"/>
      <c r="D185" s="12" t="s">
        <v>90</v>
      </c>
      <c r="E185" s="12">
        <v>2</v>
      </c>
      <c r="F185" s="12">
        <v>80</v>
      </c>
      <c r="G185" s="12">
        <f t="shared" si="0"/>
        <v>160</v>
      </c>
    </row>
    <row r="186" spans="2:7" ht="15.6" x14ac:dyDescent="0.3">
      <c r="B186" s="77"/>
      <c r="C186" s="12" t="s">
        <v>84</v>
      </c>
      <c r="D186" s="12" t="s">
        <v>41</v>
      </c>
      <c r="E186" s="12">
        <v>2</v>
      </c>
      <c r="F186" s="12">
        <v>20</v>
      </c>
      <c r="G186" s="12">
        <f t="shared" si="0"/>
        <v>40</v>
      </c>
    </row>
    <row r="187" spans="2:7" ht="15.6" x14ac:dyDescent="0.3">
      <c r="B187" s="77">
        <v>46031</v>
      </c>
      <c r="C187" s="12" t="s">
        <v>79</v>
      </c>
      <c r="D187" s="12" t="s">
        <v>41</v>
      </c>
      <c r="E187" s="12">
        <v>12</v>
      </c>
      <c r="F187" s="12">
        <v>20</v>
      </c>
      <c r="G187" s="12">
        <f t="shared" si="0"/>
        <v>240</v>
      </c>
    </row>
    <row r="188" spans="2:7" ht="15.6" x14ac:dyDescent="0.3">
      <c r="B188" s="77"/>
      <c r="C188" s="78" t="s">
        <v>82</v>
      </c>
      <c r="D188" s="12" t="s">
        <v>91</v>
      </c>
      <c r="E188" s="12">
        <v>4</v>
      </c>
      <c r="F188" s="12">
        <v>80</v>
      </c>
      <c r="G188" s="12">
        <f t="shared" si="0"/>
        <v>320</v>
      </c>
    </row>
    <row r="189" spans="2:7" ht="15.6" x14ac:dyDescent="0.3">
      <c r="B189" s="77"/>
      <c r="C189" s="78"/>
      <c r="D189" s="12" t="s">
        <v>89</v>
      </c>
      <c r="E189" s="12">
        <v>1</v>
      </c>
      <c r="F189" s="12">
        <v>40</v>
      </c>
      <c r="G189" s="12">
        <f t="shared" si="0"/>
        <v>40</v>
      </c>
    </row>
    <row r="190" spans="2:7" ht="15.6" x14ac:dyDescent="0.3">
      <c r="B190" s="77">
        <v>46032</v>
      </c>
      <c r="C190" s="78" t="s">
        <v>79</v>
      </c>
      <c r="D190" s="12" t="s">
        <v>92</v>
      </c>
      <c r="E190" s="12">
        <v>5</v>
      </c>
      <c r="F190" s="12">
        <v>40</v>
      </c>
      <c r="G190" s="12">
        <f t="shared" si="0"/>
        <v>200</v>
      </c>
    </row>
    <row r="191" spans="2:7" ht="15.6" x14ac:dyDescent="0.3">
      <c r="B191" s="77"/>
      <c r="C191" s="78"/>
      <c r="D191" s="12" t="s">
        <v>81</v>
      </c>
      <c r="E191" s="12">
        <v>4</v>
      </c>
      <c r="F191" s="12">
        <v>20</v>
      </c>
      <c r="G191" s="12">
        <f t="shared" si="0"/>
        <v>80</v>
      </c>
    </row>
    <row r="192" spans="2:7" ht="15.6" x14ac:dyDescent="0.3">
      <c r="B192" s="77"/>
      <c r="C192" s="78" t="s">
        <v>82</v>
      </c>
      <c r="D192" s="12" t="s">
        <v>93</v>
      </c>
      <c r="E192" s="12">
        <v>3</v>
      </c>
      <c r="F192" s="12">
        <v>80</v>
      </c>
      <c r="G192" s="12">
        <f t="shared" si="0"/>
        <v>240</v>
      </c>
    </row>
    <row r="193" spans="2:7" ht="15.6" x14ac:dyDescent="0.3">
      <c r="B193" s="77"/>
      <c r="C193" s="78"/>
      <c r="D193" s="12" t="s">
        <v>94</v>
      </c>
      <c r="E193" s="12">
        <v>5</v>
      </c>
      <c r="F193" s="12">
        <v>30</v>
      </c>
      <c r="G193" s="12">
        <f t="shared" si="0"/>
        <v>150</v>
      </c>
    </row>
    <row r="194" spans="2:7" ht="15.6" x14ac:dyDescent="0.3">
      <c r="B194" s="77">
        <v>46034</v>
      </c>
      <c r="C194" s="78" t="s">
        <v>79</v>
      </c>
      <c r="D194" s="12" t="s">
        <v>80</v>
      </c>
      <c r="E194" s="12">
        <v>6</v>
      </c>
      <c r="F194" s="12">
        <v>25</v>
      </c>
      <c r="G194" s="12">
        <f t="shared" si="0"/>
        <v>150</v>
      </c>
    </row>
    <row r="195" spans="2:7" ht="15.6" x14ac:dyDescent="0.3">
      <c r="B195" s="77"/>
      <c r="C195" s="78"/>
      <c r="D195" s="12" t="s">
        <v>81</v>
      </c>
      <c r="E195" s="12">
        <v>6</v>
      </c>
      <c r="F195" s="12">
        <v>20</v>
      </c>
      <c r="G195" s="12">
        <f t="shared" si="0"/>
        <v>120</v>
      </c>
    </row>
    <row r="196" spans="2:7" ht="15.6" x14ac:dyDescent="0.3">
      <c r="B196" s="77"/>
      <c r="C196" s="78" t="s">
        <v>82</v>
      </c>
      <c r="D196" s="12" t="s">
        <v>83</v>
      </c>
      <c r="E196" s="12">
        <v>5</v>
      </c>
      <c r="F196" s="12">
        <v>90</v>
      </c>
      <c r="G196" s="12">
        <f t="shared" si="0"/>
        <v>450</v>
      </c>
    </row>
    <row r="197" spans="2:7" ht="15.6" x14ac:dyDescent="0.3">
      <c r="B197" s="77"/>
      <c r="C197" s="78"/>
      <c r="D197" s="12" t="s">
        <v>70</v>
      </c>
      <c r="E197" s="12">
        <v>3</v>
      </c>
      <c r="F197" s="12">
        <v>30</v>
      </c>
      <c r="G197" s="12">
        <f t="shared" si="0"/>
        <v>90</v>
      </c>
    </row>
    <row r="198" spans="2:7" ht="15.6" x14ac:dyDescent="0.3">
      <c r="B198" s="77"/>
      <c r="C198" s="12" t="s">
        <v>84</v>
      </c>
      <c r="D198" s="12" t="s">
        <v>41</v>
      </c>
      <c r="E198" s="12">
        <v>7</v>
      </c>
      <c r="F198" s="12">
        <v>20</v>
      </c>
      <c r="G198" s="12">
        <f t="shared" si="0"/>
        <v>140</v>
      </c>
    </row>
    <row r="199" spans="2:7" ht="15.6" x14ac:dyDescent="0.3">
      <c r="B199" s="77">
        <v>46035</v>
      </c>
      <c r="C199" s="12" t="s">
        <v>79</v>
      </c>
      <c r="D199" s="12" t="s">
        <v>39</v>
      </c>
      <c r="E199" s="12">
        <v>19</v>
      </c>
      <c r="F199" s="12">
        <v>8</v>
      </c>
      <c r="G199" s="12">
        <f t="shared" si="0"/>
        <v>152</v>
      </c>
    </row>
    <row r="200" spans="2:7" ht="15.6" x14ac:dyDescent="0.3">
      <c r="B200" s="77"/>
      <c r="C200" s="12" t="s">
        <v>82</v>
      </c>
      <c r="D200" s="12" t="s">
        <v>95</v>
      </c>
      <c r="E200" s="12">
        <v>4</v>
      </c>
      <c r="F200" s="12">
        <v>130</v>
      </c>
      <c r="G200" s="12">
        <f t="shared" si="0"/>
        <v>520</v>
      </c>
    </row>
    <row r="201" spans="2:7" ht="15.6" x14ac:dyDescent="0.3">
      <c r="B201" s="77">
        <v>46036</v>
      </c>
      <c r="C201" s="12" t="s">
        <v>79</v>
      </c>
      <c r="D201" s="12" t="s">
        <v>81</v>
      </c>
      <c r="E201" s="12">
        <v>12</v>
      </c>
      <c r="F201" s="12">
        <v>20</v>
      </c>
      <c r="G201" s="12">
        <f t="shared" si="0"/>
        <v>240</v>
      </c>
    </row>
    <row r="202" spans="2:7" ht="15.6" x14ac:dyDescent="0.3">
      <c r="B202" s="77"/>
      <c r="C202" s="78" t="s">
        <v>82</v>
      </c>
      <c r="D202" s="12" t="s">
        <v>83</v>
      </c>
      <c r="E202" s="12">
        <v>4</v>
      </c>
      <c r="F202" s="12">
        <v>90</v>
      </c>
      <c r="G202" s="12">
        <f t="shared" si="0"/>
        <v>360</v>
      </c>
    </row>
    <row r="203" spans="2:7" ht="15.6" x14ac:dyDescent="0.3">
      <c r="B203" s="77"/>
      <c r="C203" s="78"/>
      <c r="D203" s="12" t="s">
        <v>70</v>
      </c>
      <c r="E203" s="12">
        <v>3</v>
      </c>
      <c r="F203" s="12">
        <v>30</v>
      </c>
      <c r="G203" s="12">
        <f t="shared" si="0"/>
        <v>90</v>
      </c>
    </row>
    <row r="204" spans="2:7" ht="15.6" x14ac:dyDescent="0.3">
      <c r="B204" s="77">
        <v>46037</v>
      </c>
      <c r="C204" s="12" t="s">
        <v>79</v>
      </c>
      <c r="D204" s="12" t="s">
        <v>81</v>
      </c>
      <c r="E204" s="12">
        <v>6</v>
      </c>
      <c r="F204" s="12">
        <v>20</v>
      </c>
      <c r="G204" s="12">
        <f t="shared" si="0"/>
        <v>120</v>
      </c>
    </row>
    <row r="205" spans="2:7" ht="15.6" x14ac:dyDescent="0.3">
      <c r="B205" s="77"/>
      <c r="C205" s="12" t="s">
        <v>82</v>
      </c>
      <c r="D205" s="12" t="s">
        <v>83</v>
      </c>
      <c r="E205" s="12">
        <v>3</v>
      </c>
      <c r="F205" s="12">
        <v>90</v>
      </c>
      <c r="G205" s="12">
        <f t="shared" si="0"/>
        <v>270</v>
      </c>
    </row>
    <row r="206" spans="2:7" ht="15.6" x14ac:dyDescent="0.3">
      <c r="B206" s="77">
        <v>46041</v>
      </c>
      <c r="C206" s="12" t="s">
        <v>79</v>
      </c>
      <c r="D206" s="12" t="s">
        <v>81</v>
      </c>
      <c r="E206" s="12">
        <v>6</v>
      </c>
      <c r="F206" s="12">
        <v>20</v>
      </c>
      <c r="G206" s="12">
        <f>E206*F206</f>
        <v>120</v>
      </c>
    </row>
    <row r="207" spans="2:7" ht="15.6" x14ac:dyDescent="0.3">
      <c r="B207" s="77"/>
      <c r="C207" s="12" t="s">
        <v>96</v>
      </c>
      <c r="D207" s="12" t="s">
        <v>97</v>
      </c>
      <c r="E207" s="12">
        <v>3</v>
      </c>
      <c r="F207" s="12">
        <v>90</v>
      </c>
      <c r="G207" s="12">
        <f t="shared" ref="G207:G222" si="1">E207*F207</f>
        <v>270</v>
      </c>
    </row>
    <row r="208" spans="2:7" ht="15.6" x14ac:dyDescent="0.3">
      <c r="B208" s="77"/>
      <c r="C208" s="12" t="s">
        <v>10</v>
      </c>
      <c r="D208" s="12" t="s">
        <v>55</v>
      </c>
      <c r="E208" s="12">
        <v>1</v>
      </c>
      <c r="F208" s="12">
        <v>70</v>
      </c>
      <c r="G208" s="12">
        <f t="shared" si="1"/>
        <v>70</v>
      </c>
    </row>
    <row r="209" spans="2:7" ht="15.6" x14ac:dyDescent="0.3">
      <c r="B209" s="77">
        <v>46042</v>
      </c>
      <c r="C209" s="12" t="s">
        <v>79</v>
      </c>
      <c r="D209" s="12" t="s">
        <v>39</v>
      </c>
      <c r="E209" s="12">
        <v>9</v>
      </c>
      <c r="F209" s="12">
        <v>8</v>
      </c>
      <c r="G209" s="12">
        <f t="shared" si="1"/>
        <v>72</v>
      </c>
    </row>
    <row r="210" spans="2:7" ht="15.6" x14ac:dyDescent="0.3">
      <c r="B210" s="77"/>
      <c r="C210" s="78" t="s">
        <v>96</v>
      </c>
      <c r="D210" s="12" t="s">
        <v>90</v>
      </c>
      <c r="E210" s="12">
        <v>2</v>
      </c>
      <c r="F210" s="12">
        <v>80</v>
      </c>
      <c r="G210" s="12">
        <f t="shared" si="1"/>
        <v>160</v>
      </c>
    </row>
    <row r="211" spans="2:7" ht="15.6" x14ac:dyDescent="0.3">
      <c r="B211" s="77"/>
      <c r="C211" s="78"/>
      <c r="D211" s="12" t="s">
        <v>89</v>
      </c>
      <c r="E211" s="12">
        <v>1</v>
      </c>
      <c r="F211" s="12">
        <v>40</v>
      </c>
      <c r="G211" s="12">
        <f t="shared" si="1"/>
        <v>40</v>
      </c>
    </row>
    <row r="212" spans="2:7" ht="15.6" x14ac:dyDescent="0.3">
      <c r="B212" s="77"/>
      <c r="C212" s="12" t="s">
        <v>10</v>
      </c>
      <c r="D212" s="12" t="s">
        <v>98</v>
      </c>
      <c r="E212" s="12">
        <v>2</v>
      </c>
      <c r="F212" s="12">
        <v>25</v>
      </c>
      <c r="G212" s="12">
        <f t="shared" si="1"/>
        <v>50</v>
      </c>
    </row>
    <row r="213" spans="2:7" ht="15.6" x14ac:dyDescent="0.3">
      <c r="B213" s="77">
        <v>46043</v>
      </c>
      <c r="C213" s="12" t="s">
        <v>79</v>
      </c>
      <c r="D213" s="12" t="s">
        <v>81</v>
      </c>
      <c r="E213" s="12">
        <v>8</v>
      </c>
      <c r="F213" s="12">
        <v>20</v>
      </c>
      <c r="G213" s="12">
        <f t="shared" si="1"/>
        <v>160</v>
      </c>
    </row>
    <row r="214" spans="2:7" ht="15.6" x14ac:dyDescent="0.3">
      <c r="B214" s="77"/>
      <c r="C214" s="12" t="s">
        <v>96</v>
      </c>
      <c r="D214" s="12" t="s">
        <v>99</v>
      </c>
      <c r="E214" s="12">
        <v>3</v>
      </c>
      <c r="F214" s="12">
        <v>50</v>
      </c>
      <c r="G214" s="12">
        <f t="shared" si="1"/>
        <v>150</v>
      </c>
    </row>
    <row r="215" spans="2:7" ht="15.6" x14ac:dyDescent="0.3">
      <c r="B215" s="77">
        <v>46044</v>
      </c>
      <c r="C215" s="12" t="s">
        <v>96</v>
      </c>
      <c r="D215" s="12" t="s">
        <v>47</v>
      </c>
      <c r="E215" s="12">
        <v>3</v>
      </c>
      <c r="F215" s="12">
        <v>200</v>
      </c>
      <c r="G215" s="12">
        <f t="shared" si="1"/>
        <v>600</v>
      </c>
    </row>
    <row r="216" spans="2:7" ht="15.6" x14ac:dyDescent="0.3">
      <c r="B216" s="77"/>
      <c r="C216" s="12" t="s">
        <v>10</v>
      </c>
      <c r="D216" s="12" t="s">
        <v>98</v>
      </c>
      <c r="E216" s="12">
        <v>2</v>
      </c>
      <c r="F216" s="12">
        <v>25</v>
      </c>
      <c r="G216" s="12">
        <f t="shared" si="1"/>
        <v>50</v>
      </c>
    </row>
    <row r="217" spans="2:7" ht="15.6" x14ac:dyDescent="0.3">
      <c r="B217" s="11">
        <v>46045</v>
      </c>
      <c r="C217" s="12" t="s">
        <v>96</v>
      </c>
      <c r="D217" s="12" t="s">
        <v>97</v>
      </c>
      <c r="E217" s="12">
        <v>2</v>
      </c>
      <c r="F217" s="12">
        <v>90</v>
      </c>
      <c r="G217" s="12">
        <f t="shared" si="1"/>
        <v>180</v>
      </c>
    </row>
    <row r="218" spans="2:7" ht="15.6" x14ac:dyDescent="0.3">
      <c r="B218" s="11">
        <v>46046</v>
      </c>
      <c r="C218" s="12" t="s">
        <v>10</v>
      </c>
      <c r="D218" s="12" t="s">
        <v>98</v>
      </c>
      <c r="E218" s="12">
        <v>3</v>
      </c>
      <c r="F218" s="12">
        <v>25</v>
      </c>
      <c r="G218" s="12">
        <f t="shared" si="1"/>
        <v>75</v>
      </c>
    </row>
    <row r="219" spans="2:7" ht="15.6" x14ac:dyDescent="0.3">
      <c r="B219" s="11">
        <v>46048</v>
      </c>
      <c r="C219" s="12" t="s">
        <v>10</v>
      </c>
      <c r="D219" s="12" t="s">
        <v>98</v>
      </c>
      <c r="E219" s="12">
        <v>2</v>
      </c>
      <c r="F219" s="12">
        <v>25</v>
      </c>
      <c r="G219" s="12">
        <f t="shared" si="1"/>
        <v>50</v>
      </c>
    </row>
    <row r="220" spans="2:7" ht="15.6" x14ac:dyDescent="0.3">
      <c r="B220" s="11">
        <v>46049</v>
      </c>
      <c r="C220" s="12" t="s">
        <v>96</v>
      </c>
      <c r="D220" s="12" t="s">
        <v>100</v>
      </c>
      <c r="E220" s="12">
        <v>2</v>
      </c>
      <c r="F220" s="12">
        <v>60</v>
      </c>
      <c r="G220" s="12">
        <f t="shared" si="1"/>
        <v>120</v>
      </c>
    </row>
    <row r="221" spans="2:7" ht="15.6" x14ac:dyDescent="0.3">
      <c r="B221" s="77">
        <v>46050</v>
      </c>
      <c r="C221" s="12" t="s">
        <v>96</v>
      </c>
      <c r="D221" s="12" t="s">
        <v>97</v>
      </c>
      <c r="E221" s="12">
        <v>2</v>
      </c>
      <c r="F221" s="12">
        <v>90</v>
      </c>
      <c r="G221" s="12">
        <f t="shared" si="1"/>
        <v>180</v>
      </c>
    </row>
    <row r="222" spans="2:7" ht="15.6" x14ac:dyDescent="0.3">
      <c r="B222" s="77"/>
      <c r="C222" s="12" t="s">
        <v>10</v>
      </c>
      <c r="D222" s="12" t="s">
        <v>101</v>
      </c>
      <c r="E222" s="12">
        <v>2</v>
      </c>
      <c r="F222" s="12">
        <v>40</v>
      </c>
      <c r="G222" s="12">
        <f t="shared" si="1"/>
        <v>80</v>
      </c>
    </row>
  </sheetData>
  <mergeCells count="110">
    <mergeCell ref="C47:C48"/>
    <mergeCell ref="B31:B34"/>
    <mergeCell ref="B35:B39"/>
    <mergeCell ref="C13:C15"/>
    <mergeCell ref="C17:C18"/>
    <mergeCell ref="B21:B24"/>
    <mergeCell ref="C23:C24"/>
    <mergeCell ref="B25:B30"/>
    <mergeCell ref="C27:C30"/>
    <mergeCell ref="B11:B15"/>
    <mergeCell ref="B16:B20"/>
    <mergeCell ref="C19:C20"/>
    <mergeCell ref="B62:B65"/>
    <mergeCell ref="C64:C65"/>
    <mergeCell ref="B66:B69"/>
    <mergeCell ref="C66:C67"/>
    <mergeCell ref="B70:B72"/>
    <mergeCell ref="B73:B74"/>
    <mergeCell ref="C76:C77"/>
    <mergeCell ref="B3:B6"/>
    <mergeCell ref="C5:C6"/>
    <mergeCell ref="B7:B10"/>
    <mergeCell ref="C9:C10"/>
    <mergeCell ref="B58:B61"/>
    <mergeCell ref="C60:C61"/>
    <mergeCell ref="B49:B50"/>
    <mergeCell ref="B51:B54"/>
    <mergeCell ref="C53:C54"/>
    <mergeCell ref="B55:B57"/>
    <mergeCell ref="C33:C34"/>
    <mergeCell ref="B40:B43"/>
    <mergeCell ref="B44:B48"/>
    <mergeCell ref="C35:C36"/>
    <mergeCell ref="C37:C38"/>
    <mergeCell ref="C42:C43"/>
    <mergeCell ref="C45:C46"/>
    <mergeCell ref="C99:C100"/>
    <mergeCell ref="B108:B111"/>
    <mergeCell ref="B112:B114"/>
    <mergeCell ref="B115:B118"/>
    <mergeCell ref="C117:C118"/>
    <mergeCell ref="B119:B123"/>
    <mergeCell ref="C120:C121"/>
    <mergeCell ref="C122:C123"/>
    <mergeCell ref="B75:B78"/>
    <mergeCell ref="B79:B81"/>
    <mergeCell ref="B137:B140"/>
    <mergeCell ref="C138:C139"/>
    <mergeCell ref="B141:B145"/>
    <mergeCell ref="C142:C143"/>
    <mergeCell ref="C144:C145"/>
    <mergeCell ref="B82:B84"/>
    <mergeCell ref="B85:B89"/>
    <mergeCell ref="C86:C87"/>
    <mergeCell ref="C88:C89"/>
    <mergeCell ref="B133:B136"/>
    <mergeCell ref="C135:C136"/>
    <mergeCell ref="B124:B128"/>
    <mergeCell ref="C125:C126"/>
    <mergeCell ref="C127:C128"/>
    <mergeCell ref="B129:B132"/>
    <mergeCell ref="C129:C130"/>
    <mergeCell ref="B101:B103"/>
    <mergeCell ref="B104:B107"/>
    <mergeCell ref="C106:C107"/>
    <mergeCell ref="C110:C111"/>
    <mergeCell ref="B90:B92"/>
    <mergeCell ref="C95:C96"/>
    <mergeCell ref="B93:B96"/>
    <mergeCell ref="B97:B100"/>
    <mergeCell ref="B146:B151"/>
    <mergeCell ref="B153:B157"/>
    <mergeCell ref="B158:B161"/>
    <mergeCell ref="B162:B164"/>
    <mergeCell ref="C150:C151"/>
    <mergeCell ref="C146:C147"/>
    <mergeCell ref="C148:C149"/>
    <mergeCell ref="C154:C155"/>
    <mergeCell ref="C156:C157"/>
    <mergeCell ref="B165:B171"/>
    <mergeCell ref="C165:C166"/>
    <mergeCell ref="C167:C168"/>
    <mergeCell ref="C169:C171"/>
    <mergeCell ref="B172:B176"/>
    <mergeCell ref="C173:C174"/>
    <mergeCell ref="C175:C176"/>
    <mergeCell ref="C160:C161"/>
    <mergeCell ref="C162:C163"/>
    <mergeCell ref="B190:B193"/>
    <mergeCell ref="C190:C191"/>
    <mergeCell ref="C192:C193"/>
    <mergeCell ref="B194:B198"/>
    <mergeCell ref="C194:C195"/>
    <mergeCell ref="C196:C197"/>
    <mergeCell ref="B177:B179"/>
    <mergeCell ref="B180:B182"/>
    <mergeCell ref="B183:B186"/>
    <mergeCell ref="C184:C185"/>
    <mergeCell ref="B187:B189"/>
    <mergeCell ref="C188:C189"/>
    <mergeCell ref="B209:B212"/>
    <mergeCell ref="C210:C211"/>
    <mergeCell ref="B213:B214"/>
    <mergeCell ref="B215:B216"/>
    <mergeCell ref="B221:B222"/>
    <mergeCell ref="B199:B200"/>
    <mergeCell ref="B201:B203"/>
    <mergeCell ref="C202:C203"/>
    <mergeCell ref="B204:B205"/>
    <mergeCell ref="B206:B20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27100-50D1-484B-BB2E-D2D00026DDFC}">
  <sheetPr>
    <tabColor theme="3" tint="0.499984740745262"/>
  </sheetPr>
  <dimension ref="B1:H221"/>
  <sheetViews>
    <sheetView workbookViewId="0">
      <pane ySplit="1" topLeftCell="A2" activePane="bottomLeft" state="frozen"/>
      <selection pane="bottomLeft" activeCell="D1" sqref="D1"/>
    </sheetView>
  </sheetViews>
  <sheetFormatPr defaultRowHeight="14.4" x14ac:dyDescent="0.3"/>
  <cols>
    <col min="2" max="3" width="17.6640625" style="17" customWidth="1"/>
    <col min="4" max="4" width="17.44140625" style="16" customWidth="1"/>
    <col min="5" max="5" width="30.88671875" style="19" customWidth="1"/>
    <col min="6" max="6" width="17.5546875" customWidth="1"/>
    <col min="7" max="7" width="23.33203125" customWidth="1"/>
    <col min="8" max="8" width="16.109375" style="49" customWidth="1"/>
  </cols>
  <sheetData>
    <row r="1" spans="2:8" x14ac:dyDescent="0.3">
      <c r="B1" s="75" t="s">
        <v>0</v>
      </c>
      <c r="C1" s="75" t="s">
        <v>125</v>
      </c>
      <c r="D1" s="75" t="s">
        <v>1</v>
      </c>
      <c r="E1" s="75" t="s">
        <v>2</v>
      </c>
      <c r="F1" s="75" t="s">
        <v>3</v>
      </c>
      <c r="G1" s="75" t="s">
        <v>4</v>
      </c>
      <c r="H1" s="76" t="s">
        <v>5</v>
      </c>
    </row>
    <row r="2" spans="2:8" x14ac:dyDescent="0.3">
      <c r="B2" s="13">
        <v>45964</v>
      </c>
      <c r="C2" s="13" t="s">
        <v>126</v>
      </c>
      <c r="D2" s="15" t="s">
        <v>6</v>
      </c>
      <c r="E2" s="15" t="s">
        <v>106</v>
      </c>
      <c r="F2" s="20">
        <v>24</v>
      </c>
      <c r="G2" s="20">
        <v>8</v>
      </c>
      <c r="H2" s="48">
        <f>F2*G2</f>
        <v>192</v>
      </c>
    </row>
    <row r="3" spans="2:8" x14ac:dyDescent="0.3">
      <c r="B3" s="13">
        <v>45964</v>
      </c>
      <c r="C3" s="13" t="s">
        <v>126</v>
      </c>
      <c r="D3" s="15" t="s">
        <v>8</v>
      </c>
      <c r="E3" s="15" t="s">
        <v>40</v>
      </c>
      <c r="F3" s="20">
        <v>6</v>
      </c>
      <c r="G3" s="20">
        <v>90</v>
      </c>
      <c r="H3" s="48">
        <f t="shared" ref="H3:H66" si="0">F3*G3</f>
        <v>540</v>
      </c>
    </row>
    <row r="4" spans="2:8" x14ac:dyDescent="0.3">
      <c r="B4" s="13">
        <v>45964</v>
      </c>
      <c r="C4" s="13" t="s">
        <v>126</v>
      </c>
      <c r="D4" s="15" t="s">
        <v>10</v>
      </c>
      <c r="E4" s="15" t="s">
        <v>102</v>
      </c>
      <c r="F4" s="20">
        <v>3</v>
      </c>
      <c r="G4" s="20">
        <v>40</v>
      </c>
      <c r="H4" s="48">
        <f t="shared" si="0"/>
        <v>120</v>
      </c>
    </row>
    <row r="5" spans="2:8" x14ac:dyDescent="0.3">
      <c r="B5" s="13">
        <v>45964</v>
      </c>
      <c r="C5" s="13" t="s">
        <v>126</v>
      </c>
      <c r="D5" s="15" t="s">
        <v>10</v>
      </c>
      <c r="E5" s="15" t="s">
        <v>103</v>
      </c>
      <c r="F5" s="20">
        <v>2</v>
      </c>
      <c r="G5" s="20">
        <v>20</v>
      </c>
      <c r="H5" s="48">
        <f t="shared" si="0"/>
        <v>40</v>
      </c>
    </row>
    <row r="6" spans="2:8" x14ac:dyDescent="0.3">
      <c r="B6" s="13">
        <v>45965</v>
      </c>
      <c r="C6" s="13" t="s">
        <v>126</v>
      </c>
      <c r="D6" s="15" t="s">
        <v>6</v>
      </c>
      <c r="E6" s="15" t="s">
        <v>92</v>
      </c>
      <c r="F6" s="20">
        <v>5</v>
      </c>
      <c r="G6" s="20">
        <v>40</v>
      </c>
      <c r="H6" s="48">
        <f t="shared" si="0"/>
        <v>200</v>
      </c>
    </row>
    <row r="7" spans="2:8" x14ac:dyDescent="0.3">
      <c r="B7" s="13">
        <v>45965</v>
      </c>
      <c r="C7" s="13" t="s">
        <v>126</v>
      </c>
      <c r="D7" s="15" t="s">
        <v>8</v>
      </c>
      <c r="E7" s="15" t="s">
        <v>130</v>
      </c>
      <c r="F7" s="20">
        <v>6</v>
      </c>
      <c r="G7" s="20">
        <v>90</v>
      </c>
      <c r="H7" s="48">
        <f t="shared" si="0"/>
        <v>540</v>
      </c>
    </row>
    <row r="8" spans="2:8" x14ac:dyDescent="0.3">
      <c r="B8" s="13">
        <v>45965</v>
      </c>
      <c r="C8" s="13" t="s">
        <v>126</v>
      </c>
      <c r="D8" s="15" t="s">
        <v>10</v>
      </c>
      <c r="E8" s="15" t="s">
        <v>85</v>
      </c>
      <c r="F8" s="20">
        <v>7</v>
      </c>
      <c r="G8" s="20">
        <v>30</v>
      </c>
      <c r="H8" s="48">
        <f t="shared" si="0"/>
        <v>210</v>
      </c>
    </row>
    <row r="9" spans="2:8" x14ac:dyDescent="0.3">
      <c r="B9" s="13">
        <v>45965</v>
      </c>
      <c r="C9" s="13" t="s">
        <v>126</v>
      </c>
      <c r="D9" s="15" t="s">
        <v>10</v>
      </c>
      <c r="E9" s="15" t="s">
        <v>103</v>
      </c>
      <c r="F9" s="20">
        <v>5</v>
      </c>
      <c r="G9" s="20">
        <v>20</v>
      </c>
      <c r="H9" s="48">
        <f t="shared" si="0"/>
        <v>100</v>
      </c>
    </row>
    <row r="10" spans="2:8" x14ac:dyDescent="0.3">
      <c r="B10" s="13">
        <v>45966</v>
      </c>
      <c r="C10" s="13" t="s">
        <v>126</v>
      </c>
      <c r="D10" s="15" t="s">
        <v>6</v>
      </c>
      <c r="E10" s="15" t="s">
        <v>103</v>
      </c>
      <c r="F10" s="20">
        <v>17</v>
      </c>
      <c r="G10" s="20">
        <v>20</v>
      </c>
      <c r="H10" s="48">
        <f t="shared" si="0"/>
        <v>340</v>
      </c>
    </row>
    <row r="11" spans="2:8" x14ac:dyDescent="0.3">
      <c r="B11" s="13">
        <v>45966</v>
      </c>
      <c r="C11" s="13" t="s">
        <v>126</v>
      </c>
      <c r="D11" s="15" t="s">
        <v>8</v>
      </c>
      <c r="E11" s="15" t="s">
        <v>46</v>
      </c>
      <c r="F11" s="20">
        <v>6</v>
      </c>
      <c r="G11" s="20">
        <v>50</v>
      </c>
      <c r="H11" s="48">
        <f t="shared" si="0"/>
        <v>300</v>
      </c>
    </row>
    <row r="12" spans="2:8" x14ac:dyDescent="0.3">
      <c r="B12" s="13">
        <v>45966</v>
      </c>
      <c r="C12" s="13" t="s">
        <v>126</v>
      </c>
      <c r="D12" s="15" t="s">
        <v>10</v>
      </c>
      <c r="E12" s="15" t="s">
        <v>111</v>
      </c>
      <c r="F12" s="20">
        <v>9</v>
      </c>
      <c r="G12" s="20">
        <v>30</v>
      </c>
      <c r="H12" s="48">
        <f t="shared" si="0"/>
        <v>270</v>
      </c>
    </row>
    <row r="13" spans="2:8" x14ac:dyDescent="0.3">
      <c r="B13" s="13">
        <v>45966</v>
      </c>
      <c r="C13" s="13" t="s">
        <v>126</v>
      </c>
      <c r="D13" s="15" t="s">
        <v>10</v>
      </c>
      <c r="E13" s="15" t="s">
        <v>104</v>
      </c>
      <c r="F13" s="20">
        <v>2</v>
      </c>
      <c r="G13" s="20">
        <v>15</v>
      </c>
      <c r="H13" s="48">
        <f t="shared" si="0"/>
        <v>30</v>
      </c>
    </row>
    <row r="14" spans="2:8" x14ac:dyDescent="0.3">
      <c r="B14" s="13">
        <v>45966</v>
      </c>
      <c r="C14" s="13" t="s">
        <v>126</v>
      </c>
      <c r="D14" s="15" t="s">
        <v>10</v>
      </c>
      <c r="E14" s="15" t="s">
        <v>105</v>
      </c>
      <c r="F14" s="20">
        <v>3</v>
      </c>
      <c r="G14" s="20">
        <v>20</v>
      </c>
      <c r="H14" s="48">
        <f t="shared" si="0"/>
        <v>60</v>
      </c>
    </row>
    <row r="15" spans="2:8" x14ac:dyDescent="0.3">
      <c r="B15" s="13">
        <v>45967</v>
      </c>
      <c r="C15" s="13" t="s">
        <v>126</v>
      </c>
      <c r="D15" s="15" t="s">
        <v>6</v>
      </c>
      <c r="E15" s="15" t="s">
        <v>106</v>
      </c>
      <c r="F15" s="20">
        <v>21</v>
      </c>
      <c r="G15" s="20">
        <v>8</v>
      </c>
      <c r="H15" s="48">
        <f t="shared" si="0"/>
        <v>168</v>
      </c>
    </row>
    <row r="16" spans="2:8" x14ac:dyDescent="0.3">
      <c r="B16" s="13">
        <v>45967</v>
      </c>
      <c r="C16" s="13" t="s">
        <v>126</v>
      </c>
      <c r="D16" s="15" t="s">
        <v>8</v>
      </c>
      <c r="E16" s="15" t="s">
        <v>49</v>
      </c>
      <c r="F16" s="20">
        <v>6</v>
      </c>
      <c r="G16" s="20">
        <v>50</v>
      </c>
      <c r="H16" s="48">
        <f t="shared" si="0"/>
        <v>300</v>
      </c>
    </row>
    <row r="17" spans="2:8" x14ac:dyDescent="0.3">
      <c r="B17" s="13">
        <v>45967</v>
      </c>
      <c r="C17" s="13" t="s">
        <v>126</v>
      </c>
      <c r="D17" s="15" t="s">
        <v>8</v>
      </c>
      <c r="E17" s="15" t="s">
        <v>107</v>
      </c>
      <c r="F17" s="20">
        <v>2</v>
      </c>
      <c r="G17" s="20">
        <v>10</v>
      </c>
      <c r="H17" s="48">
        <f t="shared" si="0"/>
        <v>20</v>
      </c>
    </row>
    <row r="18" spans="2:8" x14ac:dyDescent="0.3">
      <c r="B18" s="13">
        <v>45967</v>
      </c>
      <c r="C18" s="13" t="s">
        <v>126</v>
      </c>
      <c r="D18" s="15" t="s">
        <v>10</v>
      </c>
      <c r="E18" s="15" t="s">
        <v>108</v>
      </c>
      <c r="F18" s="20">
        <v>6</v>
      </c>
      <c r="G18" s="20">
        <v>25</v>
      </c>
      <c r="H18" s="48">
        <f t="shared" si="0"/>
        <v>150</v>
      </c>
    </row>
    <row r="19" spans="2:8" x14ac:dyDescent="0.3">
      <c r="B19" s="13">
        <v>45967</v>
      </c>
      <c r="C19" s="13" t="s">
        <v>126</v>
      </c>
      <c r="D19" s="15" t="s">
        <v>10</v>
      </c>
      <c r="E19" s="15" t="s">
        <v>103</v>
      </c>
      <c r="F19" s="20">
        <v>2</v>
      </c>
      <c r="G19" s="20">
        <v>20</v>
      </c>
      <c r="H19" s="48">
        <f t="shared" si="0"/>
        <v>40</v>
      </c>
    </row>
    <row r="20" spans="2:8" x14ac:dyDescent="0.3">
      <c r="B20" s="13">
        <v>45968</v>
      </c>
      <c r="C20" s="13" t="s">
        <v>126</v>
      </c>
      <c r="D20" s="15" t="s">
        <v>6</v>
      </c>
      <c r="E20" s="15" t="s">
        <v>109</v>
      </c>
      <c r="F20" s="20">
        <v>16</v>
      </c>
      <c r="G20" s="20">
        <v>20</v>
      </c>
      <c r="H20" s="48">
        <f t="shared" si="0"/>
        <v>320</v>
      </c>
    </row>
    <row r="21" spans="2:8" x14ac:dyDescent="0.3">
      <c r="B21" s="13">
        <v>45968</v>
      </c>
      <c r="C21" s="13" t="s">
        <v>126</v>
      </c>
      <c r="D21" s="15" t="s">
        <v>8</v>
      </c>
      <c r="E21" s="15" t="s">
        <v>47</v>
      </c>
      <c r="F21" s="20">
        <v>9</v>
      </c>
      <c r="G21" s="20">
        <v>190</v>
      </c>
      <c r="H21" s="48">
        <f t="shared" si="0"/>
        <v>1710</v>
      </c>
    </row>
    <row r="22" spans="2:8" x14ac:dyDescent="0.3">
      <c r="B22" s="13">
        <v>45968</v>
      </c>
      <c r="C22" s="13" t="s">
        <v>126</v>
      </c>
      <c r="D22" s="15" t="s">
        <v>10</v>
      </c>
      <c r="E22" s="15" t="s">
        <v>85</v>
      </c>
      <c r="F22" s="20">
        <v>4</v>
      </c>
      <c r="G22" s="20">
        <v>30</v>
      </c>
      <c r="H22" s="48">
        <f t="shared" si="0"/>
        <v>120</v>
      </c>
    </row>
    <row r="23" spans="2:8" x14ac:dyDescent="0.3">
      <c r="B23" s="13">
        <v>45968</v>
      </c>
      <c r="C23" s="13" t="s">
        <v>126</v>
      </c>
      <c r="D23" s="15" t="s">
        <v>10</v>
      </c>
      <c r="E23" s="15" t="s">
        <v>103</v>
      </c>
      <c r="F23" s="20">
        <v>2</v>
      </c>
      <c r="G23" s="20">
        <v>20</v>
      </c>
      <c r="H23" s="48">
        <f t="shared" si="0"/>
        <v>40</v>
      </c>
    </row>
    <row r="24" spans="2:8" x14ac:dyDescent="0.3">
      <c r="B24" s="13">
        <v>45971</v>
      </c>
      <c r="C24" s="13" t="s">
        <v>126</v>
      </c>
      <c r="D24" s="15" t="s">
        <v>6</v>
      </c>
      <c r="E24" s="15" t="s">
        <v>103</v>
      </c>
      <c r="F24" s="20">
        <v>17</v>
      </c>
      <c r="G24" s="20">
        <v>20</v>
      </c>
      <c r="H24" s="48">
        <f t="shared" si="0"/>
        <v>340</v>
      </c>
    </row>
    <row r="25" spans="2:8" x14ac:dyDescent="0.3">
      <c r="B25" s="13">
        <v>45971</v>
      </c>
      <c r="C25" s="13" t="s">
        <v>126</v>
      </c>
      <c r="D25" s="15" t="s">
        <v>8</v>
      </c>
      <c r="E25" s="15" t="s">
        <v>40</v>
      </c>
      <c r="F25" s="20">
        <v>7</v>
      </c>
      <c r="G25" s="20">
        <v>90</v>
      </c>
      <c r="H25" s="48">
        <f t="shared" si="0"/>
        <v>630</v>
      </c>
    </row>
    <row r="26" spans="2:8" x14ac:dyDescent="0.3">
      <c r="B26" s="13">
        <v>45971</v>
      </c>
      <c r="C26" s="13" t="s">
        <v>126</v>
      </c>
      <c r="D26" s="15" t="s">
        <v>10</v>
      </c>
      <c r="E26" s="15" t="s">
        <v>110</v>
      </c>
      <c r="F26" s="20">
        <v>4</v>
      </c>
      <c r="G26" s="20">
        <v>40</v>
      </c>
      <c r="H26" s="48">
        <f t="shared" si="0"/>
        <v>160</v>
      </c>
    </row>
    <row r="27" spans="2:8" x14ac:dyDescent="0.3">
      <c r="B27" s="13">
        <v>45971</v>
      </c>
      <c r="C27" s="13" t="s">
        <v>126</v>
      </c>
      <c r="D27" s="15" t="s">
        <v>10</v>
      </c>
      <c r="E27" s="15" t="s">
        <v>103</v>
      </c>
      <c r="F27" s="20">
        <v>3</v>
      </c>
      <c r="G27" s="20">
        <v>20</v>
      </c>
      <c r="H27" s="48">
        <f t="shared" si="0"/>
        <v>60</v>
      </c>
    </row>
    <row r="28" spans="2:8" x14ac:dyDescent="0.3">
      <c r="B28" s="13">
        <v>45971</v>
      </c>
      <c r="C28" s="13" t="s">
        <v>126</v>
      </c>
      <c r="D28" s="15" t="s">
        <v>10</v>
      </c>
      <c r="E28" s="15" t="s">
        <v>102</v>
      </c>
      <c r="F28" s="20">
        <v>1</v>
      </c>
      <c r="G28" s="20">
        <v>40</v>
      </c>
      <c r="H28" s="48">
        <f t="shared" si="0"/>
        <v>40</v>
      </c>
    </row>
    <row r="29" spans="2:8" x14ac:dyDescent="0.3">
      <c r="B29" s="13">
        <v>45971</v>
      </c>
      <c r="C29" s="13" t="s">
        <v>126</v>
      </c>
      <c r="D29" s="15" t="s">
        <v>10</v>
      </c>
      <c r="E29" s="15" t="s">
        <v>85</v>
      </c>
      <c r="F29" s="20">
        <v>1</v>
      </c>
      <c r="G29" s="20">
        <v>30</v>
      </c>
      <c r="H29" s="48">
        <f t="shared" si="0"/>
        <v>30</v>
      </c>
    </row>
    <row r="30" spans="2:8" x14ac:dyDescent="0.3">
      <c r="B30" s="13">
        <v>45972</v>
      </c>
      <c r="C30" s="13" t="s">
        <v>126</v>
      </c>
      <c r="D30" s="15" t="s">
        <v>6</v>
      </c>
      <c r="E30" s="15" t="s">
        <v>106</v>
      </c>
      <c r="F30" s="20">
        <v>24</v>
      </c>
      <c r="G30" s="20">
        <v>8</v>
      </c>
      <c r="H30" s="48">
        <f t="shared" si="0"/>
        <v>192</v>
      </c>
    </row>
    <row r="31" spans="2:8" x14ac:dyDescent="0.3">
      <c r="B31" s="13">
        <v>45972</v>
      </c>
      <c r="C31" s="13" t="s">
        <v>126</v>
      </c>
      <c r="D31" s="15" t="s">
        <v>8</v>
      </c>
      <c r="E31" s="15" t="s">
        <v>46</v>
      </c>
      <c r="F31" s="20">
        <v>7</v>
      </c>
      <c r="G31" s="20">
        <v>50</v>
      </c>
      <c r="H31" s="48">
        <f t="shared" si="0"/>
        <v>350</v>
      </c>
    </row>
    <row r="32" spans="2:8" x14ac:dyDescent="0.3">
      <c r="B32" s="13">
        <v>45972</v>
      </c>
      <c r="C32" s="13" t="s">
        <v>126</v>
      </c>
      <c r="D32" s="15" t="s">
        <v>10</v>
      </c>
      <c r="E32" s="15" t="s">
        <v>111</v>
      </c>
      <c r="F32" s="20">
        <v>4</v>
      </c>
      <c r="G32" s="20">
        <v>50</v>
      </c>
      <c r="H32" s="48">
        <f t="shared" si="0"/>
        <v>200</v>
      </c>
    </row>
    <row r="33" spans="2:8" x14ac:dyDescent="0.3">
      <c r="B33" s="13">
        <v>45972</v>
      </c>
      <c r="C33" s="13" t="s">
        <v>126</v>
      </c>
      <c r="D33" s="15" t="s">
        <v>10</v>
      </c>
      <c r="E33" s="15" t="s">
        <v>103</v>
      </c>
      <c r="F33" s="20">
        <v>6</v>
      </c>
      <c r="G33" s="20">
        <v>20</v>
      </c>
      <c r="H33" s="48">
        <f t="shared" si="0"/>
        <v>120</v>
      </c>
    </row>
    <row r="34" spans="2:8" x14ac:dyDescent="0.3">
      <c r="B34" s="13">
        <v>45973</v>
      </c>
      <c r="C34" s="13" t="s">
        <v>126</v>
      </c>
      <c r="D34" s="15" t="s">
        <v>6</v>
      </c>
      <c r="E34" s="15" t="s">
        <v>92</v>
      </c>
      <c r="F34" s="20">
        <v>5</v>
      </c>
      <c r="G34" s="20">
        <v>40</v>
      </c>
      <c r="H34" s="48">
        <f t="shared" si="0"/>
        <v>200</v>
      </c>
    </row>
    <row r="35" spans="2:8" x14ac:dyDescent="0.3">
      <c r="B35" s="13">
        <v>45973</v>
      </c>
      <c r="C35" s="13" t="s">
        <v>126</v>
      </c>
      <c r="D35" s="15" t="s">
        <v>6</v>
      </c>
      <c r="E35" s="15" t="s">
        <v>112</v>
      </c>
      <c r="F35" s="20">
        <v>3</v>
      </c>
      <c r="G35" s="20">
        <v>5</v>
      </c>
      <c r="H35" s="48">
        <f t="shared" si="0"/>
        <v>15</v>
      </c>
    </row>
    <row r="36" spans="2:8" x14ac:dyDescent="0.3">
      <c r="B36" s="13">
        <v>45973</v>
      </c>
      <c r="C36" s="13" t="s">
        <v>126</v>
      </c>
      <c r="D36" s="15" t="s">
        <v>8</v>
      </c>
      <c r="E36" s="15" t="s">
        <v>113</v>
      </c>
      <c r="F36" s="20">
        <v>7</v>
      </c>
      <c r="G36" s="20">
        <v>50</v>
      </c>
      <c r="H36" s="48">
        <f t="shared" si="0"/>
        <v>350</v>
      </c>
    </row>
    <row r="37" spans="2:8" x14ac:dyDescent="0.3">
      <c r="B37" s="13">
        <v>45973</v>
      </c>
      <c r="C37" s="13" t="s">
        <v>126</v>
      </c>
      <c r="D37" s="15" t="s">
        <v>8</v>
      </c>
      <c r="E37" s="15" t="s">
        <v>114</v>
      </c>
      <c r="F37" s="20">
        <v>10</v>
      </c>
      <c r="G37" s="20">
        <v>10</v>
      </c>
      <c r="H37" s="48">
        <f t="shared" si="0"/>
        <v>100</v>
      </c>
    </row>
    <row r="38" spans="2:8" x14ac:dyDescent="0.3">
      <c r="B38" s="13">
        <v>45973</v>
      </c>
      <c r="C38" s="13" t="s">
        <v>126</v>
      </c>
      <c r="D38" s="15" t="s">
        <v>10</v>
      </c>
      <c r="E38" s="15" t="s">
        <v>85</v>
      </c>
      <c r="F38" s="20">
        <v>8</v>
      </c>
      <c r="G38" s="20">
        <v>30</v>
      </c>
      <c r="H38" s="48">
        <f t="shared" si="0"/>
        <v>240</v>
      </c>
    </row>
    <row r="39" spans="2:8" x14ac:dyDescent="0.3">
      <c r="B39" s="13">
        <v>45974</v>
      </c>
      <c r="C39" s="13" t="s">
        <v>126</v>
      </c>
      <c r="D39" s="15" t="s">
        <v>6</v>
      </c>
      <c r="E39" s="15" t="s">
        <v>103</v>
      </c>
      <c r="F39" s="20">
        <v>18</v>
      </c>
      <c r="G39" s="20">
        <v>20</v>
      </c>
      <c r="H39" s="48">
        <f t="shared" si="0"/>
        <v>360</v>
      </c>
    </row>
    <row r="40" spans="2:8" x14ac:dyDescent="0.3">
      <c r="B40" s="13">
        <v>45974</v>
      </c>
      <c r="C40" s="13" t="s">
        <v>126</v>
      </c>
      <c r="D40" s="15" t="s">
        <v>8</v>
      </c>
      <c r="E40" s="15" t="s">
        <v>47</v>
      </c>
      <c r="F40" s="20">
        <v>9</v>
      </c>
      <c r="G40" s="20">
        <v>200</v>
      </c>
      <c r="H40" s="48">
        <f t="shared" si="0"/>
        <v>1800</v>
      </c>
    </row>
    <row r="41" spans="2:8" x14ac:dyDescent="0.3">
      <c r="B41" s="13">
        <v>45974</v>
      </c>
      <c r="C41" s="13" t="s">
        <v>126</v>
      </c>
      <c r="D41" s="15" t="s">
        <v>10</v>
      </c>
      <c r="E41" s="15" t="s">
        <v>110</v>
      </c>
      <c r="F41" s="20">
        <v>4</v>
      </c>
      <c r="G41" s="20">
        <v>40</v>
      </c>
      <c r="H41" s="48">
        <f t="shared" si="0"/>
        <v>160</v>
      </c>
    </row>
    <row r="42" spans="2:8" x14ac:dyDescent="0.3">
      <c r="B42" s="13">
        <v>45974</v>
      </c>
      <c r="C42" s="13" t="s">
        <v>126</v>
      </c>
      <c r="D42" s="15" t="s">
        <v>10</v>
      </c>
      <c r="E42" s="15" t="s">
        <v>85</v>
      </c>
      <c r="F42" s="20">
        <v>1</v>
      </c>
      <c r="G42" s="20">
        <v>30</v>
      </c>
      <c r="H42" s="48">
        <f t="shared" si="0"/>
        <v>30</v>
      </c>
    </row>
    <row r="43" spans="2:8" x14ac:dyDescent="0.3">
      <c r="B43" s="13">
        <v>45975</v>
      </c>
      <c r="C43" s="13" t="s">
        <v>126</v>
      </c>
      <c r="D43" s="15" t="s">
        <v>6</v>
      </c>
      <c r="E43" s="15" t="s">
        <v>85</v>
      </c>
      <c r="F43" s="20">
        <v>14</v>
      </c>
      <c r="G43" s="20">
        <v>30</v>
      </c>
      <c r="H43" s="48">
        <f t="shared" si="0"/>
        <v>420</v>
      </c>
    </row>
    <row r="44" spans="2:8" x14ac:dyDescent="0.3">
      <c r="B44" s="13">
        <v>45975</v>
      </c>
      <c r="C44" s="13" t="s">
        <v>126</v>
      </c>
      <c r="D44" s="15" t="s">
        <v>8</v>
      </c>
      <c r="E44" s="15" t="s">
        <v>46</v>
      </c>
      <c r="F44" s="20">
        <v>7</v>
      </c>
      <c r="G44" s="20">
        <v>50</v>
      </c>
      <c r="H44" s="48">
        <f t="shared" si="0"/>
        <v>350</v>
      </c>
    </row>
    <row r="45" spans="2:8" x14ac:dyDescent="0.3">
      <c r="B45" s="13">
        <v>45975</v>
      </c>
      <c r="C45" s="13" t="s">
        <v>126</v>
      </c>
      <c r="D45" s="15" t="s">
        <v>8</v>
      </c>
      <c r="E45" s="15" t="s">
        <v>104</v>
      </c>
      <c r="F45" s="20">
        <v>3</v>
      </c>
      <c r="G45" s="20">
        <v>15</v>
      </c>
      <c r="H45" s="48">
        <f t="shared" si="0"/>
        <v>45</v>
      </c>
    </row>
    <row r="46" spans="2:8" x14ac:dyDescent="0.3">
      <c r="B46" s="13">
        <v>45975</v>
      </c>
      <c r="C46" s="13" t="s">
        <v>126</v>
      </c>
      <c r="D46" s="15" t="s">
        <v>10</v>
      </c>
      <c r="E46" s="15" t="s">
        <v>102</v>
      </c>
      <c r="F46" s="20">
        <v>2</v>
      </c>
      <c r="G46" s="20">
        <v>40</v>
      </c>
      <c r="H46" s="48">
        <f t="shared" si="0"/>
        <v>80</v>
      </c>
    </row>
    <row r="47" spans="2:8" x14ac:dyDescent="0.3">
      <c r="B47" s="13">
        <v>45975</v>
      </c>
      <c r="C47" s="13" t="s">
        <v>126</v>
      </c>
      <c r="D47" s="15" t="s">
        <v>10</v>
      </c>
      <c r="E47" s="15" t="s">
        <v>118</v>
      </c>
      <c r="F47" s="20">
        <v>3</v>
      </c>
      <c r="G47" s="20">
        <v>20</v>
      </c>
      <c r="H47" s="48">
        <f t="shared" si="0"/>
        <v>60</v>
      </c>
    </row>
    <row r="48" spans="2:8" x14ac:dyDescent="0.3">
      <c r="B48" s="13">
        <v>45978</v>
      </c>
      <c r="C48" s="13" t="s">
        <v>126</v>
      </c>
      <c r="D48" s="15" t="s">
        <v>6</v>
      </c>
      <c r="E48" s="15" t="s">
        <v>106</v>
      </c>
      <c r="F48" s="20">
        <v>17</v>
      </c>
      <c r="G48" s="20">
        <v>8</v>
      </c>
      <c r="H48" s="48">
        <f t="shared" si="0"/>
        <v>136</v>
      </c>
    </row>
    <row r="49" spans="2:8" x14ac:dyDescent="0.3">
      <c r="B49" s="13">
        <v>45978</v>
      </c>
      <c r="C49" s="13" t="s">
        <v>126</v>
      </c>
      <c r="D49" s="15" t="s">
        <v>8</v>
      </c>
      <c r="E49" s="15" t="s">
        <v>40</v>
      </c>
      <c r="F49" s="20">
        <v>6</v>
      </c>
      <c r="G49" s="20">
        <v>90</v>
      </c>
      <c r="H49" s="48">
        <f t="shared" si="0"/>
        <v>540</v>
      </c>
    </row>
    <row r="50" spans="2:8" x14ac:dyDescent="0.3">
      <c r="B50" s="13">
        <v>45979</v>
      </c>
      <c r="C50" s="13" t="s">
        <v>126</v>
      </c>
      <c r="D50" s="15" t="s">
        <v>6</v>
      </c>
      <c r="E50" s="15" t="s">
        <v>92</v>
      </c>
      <c r="F50" s="20">
        <v>4</v>
      </c>
      <c r="G50" s="20">
        <v>40</v>
      </c>
      <c r="H50" s="48">
        <f t="shared" si="0"/>
        <v>160</v>
      </c>
    </row>
    <row r="51" spans="2:8" x14ac:dyDescent="0.3">
      <c r="B51" s="13">
        <v>45979</v>
      </c>
      <c r="C51" s="13" t="s">
        <v>126</v>
      </c>
      <c r="D51" s="15" t="s">
        <v>8</v>
      </c>
      <c r="E51" s="15" t="s">
        <v>46</v>
      </c>
      <c r="F51" s="20">
        <v>7</v>
      </c>
      <c r="G51" s="20">
        <v>50</v>
      </c>
      <c r="H51" s="48">
        <f t="shared" si="0"/>
        <v>350</v>
      </c>
    </row>
    <row r="52" spans="2:8" x14ac:dyDescent="0.3">
      <c r="B52" s="13">
        <v>45979</v>
      </c>
      <c r="C52" s="13" t="s">
        <v>126</v>
      </c>
      <c r="D52" s="15" t="s">
        <v>10</v>
      </c>
      <c r="E52" s="15" t="s">
        <v>115</v>
      </c>
      <c r="F52" s="20">
        <v>2</v>
      </c>
      <c r="G52" s="20">
        <v>50</v>
      </c>
      <c r="H52" s="48">
        <f t="shared" si="0"/>
        <v>100</v>
      </c>
    </row>
    <row r="53" spans="2:8" x14ac:dyDescent="0.3">
      <c r="B53" s="13">
        <v>45979</v>
      </c>
      <c r="C53" s="13" t="s">
        <v>126</v>
      </c>
      <c r="D53" s="15" t="s">
        <v>10</v>
      </c>
      <c r="E53" s="15" t="s">
        <v>85</v>
      </c>
      <c r="F53" s="20">
        <v>4</v>
      </c>
      <c r="G53" s="20">
        <v>30</v>
      </c>
      <c r="H53" s="48">
        <f t="shared" si="0"/>
        <v>120</v>
      </c>
    </row>
    <row r="54" spans="2:8" x14ac:dyDescent="0.3">
      <c r="B54" s="13">
        <v>45980</v>
      </c>
      <c r="C54" s="13" t="s">
        <v>126</v>
      </c>
      <c r="D54" s="15" t="s">
        <v>6</v>
      </c>
      <c r="E54" s="15" t="s">
        <v>109</v>
      </c>
      <c r="F54" s="20">
        <v>14</v>
      </c>
      <c r="G54" s="20">
        <v>20</v>
      </c>
      <c r="H54" s="48">
        <f t="shared" si="0"/>
        <v>280</v>
      </c>
    </row>
    <row r="55" spans="2:8" x14ac:dyDescent="0.3">
      <c r="B55" s="13">
        <v>45980</v>
      </c>
      <c r="C55" s="13" t="s">
        <v>126</v>
      </c>
      <c r="D55" s="15" t="s">
        <v>8</v>
      </c>
      <c r="E55" s="15" t="s">
        <v>67</v>
      </c>
      <c r="F55" s="20">
        <v>7</v>
      </c>
      <c r="G55" s="20">
        <v>60</v>
      </c>
      <c r="H55" s="48">
        <f t="shared" si="0"/>
        <v>420</v>
      </c>
    </row>
    <row r="56" spans="2:8" x14ac:dyDescent="0.3">
      <c r="B56" s="13">
        <v>45980</v>
      </c>
      <c r="C56" s="13" t="s">
        <v>126</v>
      </c>
      <c r="D56" s="15" t="s">
        <v>10</v>
      </c>
      <c r="E56" s="15" t="s">
        <v>111</v>
      </c>
      <c r="F56" s="20">
        <v>5</v>
      </c>
      <c r="G56" s="20">
        <v>50</v>
      </c>
      <c r="H56" s="48">
        <f t="shared" si="0"/>
        <v>250</v>
      </c>
    </row>
    <row r="57" spans="2:8" x14ac:dyDescent="0.3">
      <c r="B57" s="13">
        <v>45981</v>
      </c>
      <c r="C57" s="13" t="s">
        <v>126</v>
      </c>
      <c r="D57" s="15" t="s">
        <v>6</v>
      </c>
      <c r="E57" s="15" t="s">
        <v>106</v>
      </c>
      <c r="F57" s="20">
        <v>22</v>
      </c>
      <c r="G57" s="20">
        <v>8</v>
      </c>
      <c r="H57" s="48">
        <f t="shared" si="0"/>
        <v>176</v>
      </c>
    </row>
    <row r="58" spans="2:8" x14ac:dyDescent="0.3">
      <c r="B58" s="13">
        <v>45981</v>
      </c>
      <c r="C58" s="13" t="s">
        <v>126</v>
      </c>
      <c r="D58" s="15" t="s">
        <v>8</v>
      </c>
      <c r="E58" s="15" t="s">
        <v>47</v>
      </c>
      <c r="F58" s="20">
        <v>10</v>
      </c>
      <c r="G58" s="20">
        <v>200</v>
      </c>
      <c r="H58" s="48">
        <f t="shared" si="0"/>
        <v>2000</v>
      </c>
    </row>
    <row r="59" spans="2:8" x14ac:dyDescent="0.3">
      <c r="B59" s="13">
        <v>45981</v>
      </c>
      <c r="C59" s="13" t="s">
        <v>126</v>
      </c>
      <c r="D59" s="15" t="s">
        <v>10</v>
      </c>
      <c r="E59" s="15" t="s">
        <v>85</v>
      </c>
      <c r="F59" s="20">
        <v>11</v>
      </c>
      <c r="G59" s="20">
        <v>30</v>
      </c>
      <c r="H59" s="48">
        <f t="shared" si="0"/>
        <v>330</v>
      </c>
    </row>
    <row r="60" spans="2:8" x14ac:dyDescent="0.3">
      <c r="B60" s="13">
        <v>45981</v>
      </c>
      <c r="C60" s="13" t="s">
        <v>126</v>
      </c>
      <c r="D60" s="15" t="s">
        <v>10</v>
      </c>
      <c r="E60" s="15" t="s">
        <v>116</v>
      </c>
      <c r="F60" s="20">
        <v>5</v>
      </c>
      <c r="G60" s="20">
        <v>15</v>
      </c>
      <c r="H60" s="48">
        <f t="shared" si="0"/>
        <v>75</v>
      </c>
    </row>
    <row r="61" spans="2:8" x14ac:dyDescent="0.3">
      <c r="B61" s="13">
        <v>45982</v>
      </c>
      <c r="C61" s="13" t="s">
        <v>126</v>
      </c>
      <c r="D61" s="15" t="s">
        <v>6</v>
      </c>
      <c r="E61" s="15" t="s">
        <v>109</v>
      </c>
      <c r="F61" s="20">
        <v>12</v>
      </c>
      <c r="G61" s="20">
        <v>20</v>
      </c>
      <c r="H61" s="48">
        <f t="shared" si="0"/>
        <v>240</v>
      </c>
    </row>
    <row r="62" spans="2:8" x14ac:dyDescent="0.3">
      <c r="B62" s="13">
        <v>45982</v>
      </c>
      <c r="C62" s="13" t="s">
        <v>126</v>
      </c>
      <c r="D62" s="15" t="s">
        <v>8</v>
      </c>
      <c r="E62" s="15" t="s">
        <v>43</v>
      </c>
      <c r="F62" s="20">
        <v>7</v>
      </c>
      <c r="G62" s="20">
        <v>80</v>
      </c>
      <c r="H62" s="48">
        <f t="shared" si="0"/>
        <v>560</v>
      </c>
    </row>
    <row r="63" spans="2:8" x14ac:dyDescent="0.3">
      <c r="B63" s="13">
        <v>45982</v>
      </c>
      <c r="C63" s="13" t="s">
        <v>126</v>
      </c>
      <c r="D63" s="15" t="s">
        <v>10</v>
      </c>
      <c r="E63" s="15" t="s">
        <v>109</v>
      </c>
      <c r="F63" s="20">
        <v>5</v>
      </c>
      <c r="G63" s="20">
        <v>20</v>
      </c>
      <c r="H63" s="48">
        <f t="shared" si="0"/>
        <v>100</v>
      </c>
    </row>
    <row r="64" spans="2:8" x14ac:dyDescent="0.3">
      <c r="B64" s="13">
        <v>45982</v>
      </c>
      <c r="C64" s="13" t="s">
        <v>126</v>
      </c>
      <c r="D64" s="15" t="s">
        <v>10</v>
      </c>
      <c r="E64" s="15" t="s">
        <v>103</v>
      </c>
      <c r="F64" s="20">
        <v>8</v>
      </c>
      <c r="G64" s="20">
        <v>20</v>
      </c>
      <c r="H64" s="48">
        <f t="shared" si="0"/>
        <v>160</v>
      </c>
    </row>
    <row r="65" spans="2:8" x14ac:dyDescent="0.3">
      <c r="B65" s="13">
        <v>45985</v>
      </c>
      <c r="C65" s="13" t="s">
        <v>126</v>
      </c>
      <c r="D65" s="15" t="s">
        <v>6</v>
      </c>
      <c r="E65" s="15" t="s">
        <v>106</v>
      </c>
      <c r="F65" s="20">
        <v>15</v>
      </c>
      <c r="G65" s="20">
        <v>8</v>
      </c>
      <c r="H65" s="48">
        <f t="shared" si="0"/>
        <v>120</v>
      </c>
    </row>
    <row r="66" spans="2:8" x14ac:dyDescent="0.3">
      <c r="B66" s="13">
        <v>45985</v>
      </c>
      <c r="C66" s="13" t="s">
        <v>126</v>
      </c>
      <c r="D66" s="15" t="s">
        <v>6</v>
      </c>
      <c r="E66" s="15" t="s">
        <v>40</v>
      </c>
      <c r="F66" s="20">
        <v>4</v>
      </c>
      <c r="G66" s="20">
        <v>90</v>
      </c>
      <c r="H66" s="48">
        <f t="shared" si="0"/>
        <v>360</v>
      </c>
    </row>
    <row r="67" spans="2:8" x14ac:dyDescent="0.3">
      <c r="B67" s="13">
        <v>45985</v>
      </c>
      <c r="C67" s="13" t="s">
        <v>126</v>
      </c>
      <c r="D67" s="15" t="s">
        <v>8</v>
      </c>
      <c r="E67" s="15" t="s">
        <v>103</v>
      </c>
      <c r="F67" s="20">
        <v>5</v>
      </c>
      <c r="G67" s="20">
        <v>20</v>
      </c>
      <c r="H67" s="48">
        <f t="shared" ref="H67:H130" si="1">F67*G67</f>
        <v>100</v>
      </c>
    </row>
    <row r="68" spans="2:8" x14ac:dyDescent="0.3">
      <c r="B68" s="13">
        <v>45985</v>
      </c>
      <c r="C68" s="13" t="s">
        <v>126</v>
      </c>
      <c r="D68" s="15" t="s">
        <v>10</v>
      </c>
      <c r="E68" s="15" t="s">
        <v>104</v>
      </c>
      <c r="F68" s="20">
        <v>2</v>
      </c>
      <c r="G68" s="20">
        <v>30</v>
      </c>
      <c r="H68" s="48">
        <f t="shared" si="1"/>
        <v>60</v>
      </c>
    </row>
    <row r="69" spans="2:8" x14ac:dyDescent="0.3">
      <c r="B69" s="13">
        <v>45986</v>
      </c>
      <c r="C69" s="13" t="s">
        <v>126</v>
      </c>
      <c r="D69" s="15" t="s">
        <v>6</v>
      </c>
      <c r="E69" s="15" t="s">
        <v>103</v>
      </c>
      <c r="F69" s="20">
        <v>12</v>
      </c>
      <c r="G69" s="20">
        <v>20</v>
      </c>
      <c r="H69" s="48">
        <f t="shared" si="1"/>
        <v>240</v>
      </c>
    </row>
    <row r="70" spans="2:8" x14ac:dyDescent="0.3">
      <c r="B70" s="13">
        <v>45986</v>
      </c>
      <c r="C70" s="13" t="s">
        <v>126</v>
      </c>
      <c r="D70" s="15" t="s">
        <v>8</v>
      </c>
      <c r="E70" s="15" t="s">
        <v>46</v>
      </c>
      <c r="F70" s="20">
        <v>5</v>
      </c>
      <c r="G70" s="20">
        <v>50</v>
      </c>
      <c r="H70" s="48">
        <f t="shared" si="1"/>
        <v>250</v>
      </c>
    </row>
    <row r="71" spans="2:8" x14ac:dyDescent="0.3">
      <c r="B71" s="13">
        <v>45986</v>
      </c>
      <c r="C71" s="13" t="s">
        <v>126</v>
      </c>
      <c r="D71" s="15" t="s">
        <v>10</v>
      </c>
      <c r="E71" s="15" t="s">
        <v>109</v>
      </c>
      <c r="F71" s="20">
        <v>5</v>
      </c>
      <c r="G71" s="20">
        <v>20</v>
      </c>
      <c r="H71" s="48">
        <f t="shared" si="1"/>
        <v>100</v>
      </c>
    </row>
    <row r="72" spans="2:8" x14ac:dyDescent="0.3">
      <c r="B72" s="13">
        <v>45987</v>
      </c>
      <c r="C72" s="13" t="s">
        <v>126</v>
      </c>
      <c r="D72" s="15" t="s">
        <v>6</v>
      </c>
      <c r="E72" s="15" t="s">
        <v>109</v>
      </c>
      <c r="F72" s="20">
        <v>10</v>
      </c>
      <c r="G72" s="20">
        <v>20</v>
      </c>
      <c r="H72" s="48">
        <f t="shared" si="1"/>
        <v>200</v>
      </c>
    </row>
    <row r="73" spans="2:8" x14ac:dyDescent="0.3">
      <c r="B73" s="13">
        <v>45987</v>
      </c>
      <c r="C73" s="13" t="s">
        <v>126</v>
      </c>
      <c r="D73" s="15" t="s">
        <v>8</v>
      </c>
      <c r="E73" s="15" t="s">
        <v>67</v>
      </c>
      <c r="F73" s="20">
        <v>5</v>
      </c>
      <c r="G73" s="20">
        <v>60</v>
      </c>
      <c r="H73" s="48">
        <f t="shared" si="1"/>
        <v>300</v>
      </c>
    </row>
    <row r="74" spans="2:8" x14ac:dyDescent="0.3">
      <c r="B74" s="13">
        <v>45988</v>
      </c>
      <c r="C74" s="13" t="s">
        <v>126</v>
      </c>
      <c r="D74" s="15" t="s">
        <v>6</v>
      </c>
      <c r="E74" s="15" t="s">
        <v>106</v>
      </c>
      <c r="F74" s="20">
        <v>11</v>
      </c>
      <c r="G74" s="20">
        <v>8</v>
      </c>
      <c r="H74" s="48">
        <f t="shared" si="1"/>
        <v>88</v>
      </c>
    </row>
    <row r="75" spans="2:8" x14ac:dyDescent="0.3">
      <c r="B75" s="13">
        <v>45988</v>
      </c>
      <c r="C75" s="13" t="s">
        <v>126</v>
      </c>
      <c r="D75" s="15" t="s">
        <v>8</v>
      </c>
      <c r="E75" s="15" t="s">
        <v>49</v>
      </c>
      <c r="F75" s="20">
        <v>3</v>
      </c>
      <c r="G75" s="20">
        <v>50</v>
      </c>
      <c r="H75" s="48">
        <f t="shared" si="1"/>
        <v>150</v>
      </c>
    </row>
    <row r="76" spans="2:8" x14ac:dyDescent="0.3">
      <c r="B76" s="13">
        <v>45988</v>
      </c>
      <c r="C76" s="13" t="s">
        <v>126</v>
      </c>
      <c r="D76" s="15" t="s">
        <v>8</v>
      </c>
      <c r="E76" s="15" t="s">
        <v>117</v>
      </c>
      <c r="F76" s="20">
        <v>1</v>
      </c>
      <c r="G76" s="20">
        <v>50</v>
      </c>
      <c r="H76" s="48">
        <f t="shared" si="1"/>
        <v>50</v>
      </c>
    </row>
    <row r="77" spans="2:8" x14ac:dyDescent="0.3">
      <c r="B77" s="13">
        <v>45988</v>
      </c>
      <c r="C77" s="13" t="s">
        <v>126</v>
      </c>
      <c r="D77" s="15" t="s">
        <v>10</v>
      </c>
      <c r="E77" s="15" t="s">
        <v>103</v>
      </c>
      <c r="F77" s="20">
        <v>6</v>
      </c>
      <c r="G77" s="20">
        <v>20</v>
      </c>
      <c r="H77" s="48">
        <f t="shared" si="1"/>
        <v>120</v>
      </c>
    </row>
    <row r="78" spans="2:8" x14ac:dyDescent="0.3">
      <c r="B78" s="13">
        <v>45989</v>
      </c>
      <c r="C78" s="13" t="s">
        <v>126</v>
      </c>
      <c r="D78" s="15" t="s">
        <v>6</v>
      </c>
      <c r="E78" s="15" t="s">
        <v>85</v>
      </c>
      <c r="F78" s="20">
        <v>10</v>
      </c>
      <c r="G78" s="20">
        <v>30</v>
      </c>
      <c r="H78" s="48">
        <f t="shared" si="1"/>
        <v>300</v>
      </c>
    </row>
    <row r="79" spans="2:8" x14ac:dyDescent="0.3">
      <c r="B79" s="13">
        <v>45989</v>
      </c>
      <c r="C79" s="13" t="s">
        <v>126</v>
      </c>
      <c r="D79" s="15" t="s">
        <v>8</v>
      </c>
      <c r="E79" s="15" t="s">
        <v>47</v>
      </c>
      <c r="F79" s="20">
        <v>6</v>
      </c>
      <c r="G79" s="20">
        <v>190</v>
      </c>
      <c r="H79" s="48">
        <f t="shared" si="1"/>
        <v>1140</v>
      </c>
    </row>
    <row r="80" spans="2:8" x14ac:dyDescent="0.3">
      <c r="B80" s="13">
        <v>45989</v>
      </c>
      <c r="C80" s="13" t="s">
        <v>126</v>
      </c>
      <c r="D80" s="15" t="s">
        <v>10</v>
      </c>
      <c r="E80" s="15" t="s">
        <v>103</v>
      </c>
      <c r="F80" s="20">
        <v>5</v>
      </c>
      <c r="G80" s="20">
        <v>20</v>
      </c>
      <c r="H80" s="48">
        <f t="shared" si="1"/>
        <v>100</v>
      </c>
    </row>
    <row r="81" spans="2:8" x14ac:dyDescent="0.3">
      <c r="B81" s="13">
        <v>45992</v>
      </c>
      <c r="C81" s="13" t="s">
        <v>127</v>
      </c>
      <c r="D81" s="15" t="s">
        <v>6</v>
      </c>
      <c r="E81" s="18" t="s">
        <v>106</v>
      </c>
      <c r="F81" s="21">
        <v>18</v>
      </c>
      <c r="G81" s="21">
        <v>8</v>
      </c>
      <c r="H81" s="48">
        <f t="shared" si="1"/>
        <v>144</v>
      </c>
    </row>
    <row r="82" spans="2:8" x14ac:dyDescent="0.3">
      <c r="B82" s="13">
        <v>45992</v>
      </c>
      <c r="C82" s="13" t="s">
        <v>127</v>
      </c>
      <c r="D82" s="15" t="s">
        <v>8</v>
      </c>
      <c r="E82" s="18" t="s">
        <v>40</v>
      </c>
      <c r="F82" s="21">
        <v>5</v>
      </c>
      <c r="G82" s="21">
        <v>90</v>
      </c>
      <c r="H82" s="48">
        <f t="shared" si="1"/>
        <v>450</v>
      </c>
    </row>
    <row r="83" spans="2:8" x14ac:dyDescent="0.3">
      <c r="B83" s="13">
        <v>45992</v>
      </c>
      <c r="C83" s="13" t="s">
        <v>127</v>
      </c>
      <c r="D83" s="15" t="s">
        <v>10</v>
      </c>
      <c r="E83" s="18" t="s">
        <v>103</v>
      </c>
      <c r="F83" s="21">
        <v>3</v>
      </c>
      <c r="G83" s="21">
        <v>20</v>
      </c>
      <c r="H83" s="48">
        <f t="shared" si="1"/>
        <v>60</v>
      </c>
    </row>
    <row r="84" spans="2:8" x14ac:dyDescent="0.3">
      <c r="B84" s="13">
        <v>45993</v>
      </c>
      <c r="C84" s="13" t="s">
        <v>127</v>
      </c>
      <c r="D84" s="15" t="s">
        <v>6</v>
      </c>
      <c r="E84" s="18" t="s">
        <v>109</v>
      </c>
      <c r="F84" s="21">
        <v>12</v>
      </c>
      <c r="G84" s="21">
        <v>20</v>
      </c>
      <c r="H84" s="48">
        <f t="shared" si="1"/>
        <v>240</v>
      </c>
    </row>
    <row r="85" spans="2:8" x14ac:dyDescent="0.3">
      <c r="B85" s="13">
        <v>45993</v>
      </c>
      <c r="C85" s="13" t="s">
        <v>127</v>
      </c>
      <c r="D85" s="15" t="s">
        <v>8</v>
      </c>
      <c r="E85" s="18" t="s">
        <v>43</v>
      </c>
      <c r="F85" s="21">
        <v>5</v>
      </c>
      <c r="G85" s="21">
        <v>100</v>
      </c>
      <c r="H85" s="48">
        <f t="shared" si="1"/>
        <v>500</v>
      </c>
    </row>
    <row r="86" spans="2:8" x14ac:dyDescent="0.3">
      <c r="B86" s="13">
        <v>45993</v>
      </c>
      <c r="C86" s="13" t="s">
        <v>127</v>
      </c>
      <c r="D86" s="15" t="s">
        <v>8</v>
      </c>
      <c r="E86" s="18" t="s">
        <v>114</v>
      </c>
      <c r="F86" s="21">
        <v>7</v>
      </c>
      <c r="G86" s="21">
        <v>20</v>
      </c>
      <c r="H86" s="48">
        <f t="shared" si="1"/>
        <v>140</v>
      </c>
    </row>
    <row r="87" spans="2:8" x14ac:dyDescent="0.3">
      <c r="B87" s="13">
        <v>45993</v>
      </c>
      <c r="C87" s="13" t="s">
        <v>127</v>
      </c>
      <c r="D87" s="15" t="s">
        <v>10</v>
      </c>
      <c r="E87" s="18" t="s">
        <v>103</v>
      </c>
      <c r="F87" s="21">
        <v>3</v>
      </c>
      <c r="G87" s="21">
        <v>20</v>
      </c>
      <c r="H87" s="48">
        <f t="shared" si="1"/>
        <v>60</v>
      </c>
    </row>
    <row r="88" spans="2:8" x14ac:dyDescent="0.3">
      <c r="B88" s="13">
        <v>45993</v>
      </c>
      <c r="C88" s="13" t="s">
        <v>127</v>
      </c>
      <c r="D88" s="15" t="s">
        <v>10</v>
      </c>
      <c r="E88" s="18" t="s">
        <v>85</v>
      </c>
      <c r="F88" s="21">
        <v>2</v>
      </c>
      <c r="G88" s="21">
        <v>30</v>
      </c>
      <c r="H88" s="48">
        <f t="shared" si="1"/>
        <v>60</v>
      </c>
    </row>
    <row r="89" spans="2:8" x14ac:dyDescent="0.3">
      <c r="B89" s="13">
        <v>45994</v>
      </c>
      <c r="C89" s="13" t="s">
        <v>127</v>
      </c>
      <c r="D89" s="15" t="s">
        <v>6</v>
      </c>
      <c r="E89" s="18" t="s">
        <v>103</v>
      </c>
      <c r="F89" s="21">
        <v>13</v>
      </c>
      <c r="G89" s="21">
        <v>20</v>
      </c>
      <c r="H89" s="48">
        <f t="shared" si="1"/>
        <v>260</v>
      </c>
    </row>
    <row r="90" spans="2:8" x14ac:dyDescent="0.3">
      <c r="B90" s="13">
        <v>45994</v>
      </c>
      <c r="C90" s="13" t="s">
        <v>127</v>
      </c>
      <c r="D90" s="15" t="s">
        <v>8</v>
      </c>
      <c r="E90" s="18" t="s">
        <v>46</v>
      </c>
      <c r="F90" s="21">
        <v>5</v>
      </c>
      <c r="G90" s="21">
        <v>50</v>
      </c>
      <c r="H90" s="48">
        <f t="shared" si="1"/>
        <v>250</v>
      </c>
    </row>
    <row r="91" spans="2:8" x14ac:dyDescent="0.3">
      <c r="B91" s="13">
        <v>45994</v>
      </c>
      <c r="C91" s="13" t="s">
        <v>127</v>
      </c>
      <c r="D91" s="15" t="s">
        <v>10</v>
      </c>
      <c r="E91" s="18" t="s">
        <v>103</v>
      </c>
      <c r="F91" s="21">
        <v>5</v>
      </c>
      <c r="G91" s="21">
        <v>20</v>
      </c>
      <c r="H91" s="48">
        <f t="shared" si="1"/>
        <v>100</v>
      </c>
    </row>
    <row r="92" spans="2:8" x14ac:dyDescent="0.3">
      <c r="B92" s="13">
        <v>45995</v>
      </c>
      <c r="C92" s="13" t="s">
        <v>127</v>
      </c>
      <c r="D92" s="15" t="s">
        <v>6</v>
      </c>
      <c r="E92" s="18" t="s">
        <v>106</v>
      </c>
      <c r="F92" s="21">
        <v>20</v>
      </c>
      <c r="G92" s="21">
        <v>8</v>
      </c>
      <c r="H92" s="48">
        <f t="shared" si="1"/>
        <v>160</v>
      </c>
    </row>
    <row r="93" spans="2:8" x14ac:dyDescent="0.3">
      <c r="B93" s="13">
        <v>45995</v>
      </c>
      <c r="C93" s="13" t="s">
        <v>127</v>
      </c>
      <c r="D93" s="15" t="s">
        <v>8</v>
      </c>
      <c r="E93" s="18" t="s">
        <v>47</v>
      </c>
      <c r="F93" s="21">
        <v>8</v>
      </c>
      <c r="G93" s="21">
        <v>200</v>
      </c>
      <c r="H93" s="48">
        <f t="shared" si="1"/>
        <v>1600</v>
      </c>
    </row>
    <row r="94" spans="2:8" x14ac:dyDescent="0.3">
      <c r="B94" s="13">
        <v>45995</v>
      </c>
      <c r="C94" s="13" t="s">
        <v>127</v>
      </c>
      <c r="D94" s="15" t="s">
        <v>10</v>
      </c>
      <c r="E94" s="18" t="s">
        <v>85</v>
      </c>
      <c r="F94" s="21">
        <v>3</v>
      </c>
      <c r="G94" s="21">
        <v>30</v>
      </c>
      <c r="H94" s="48">
        <f t="shared" si="1"/>
        <v>90</v>
      </c>
    </row>
    <row r="95" spans="2:8" x14ac:dyDescent="0.3">
      <c r="B95" s="13">
        <v>45995</v>
      </c>
      <c r="C95" s="13" t="s">
        <v>127</v>
      </c>
      <c r="D95" s="15" t="s">
        <v>10</v>
      </c>
      <c r="E95" s="18" t="s">
        <v>131</v>
      </c>
      <c r="F95" s="21">
        <v>2</v>
      </c>
      <c r="G95" s="21">
        <v>25</v>
      </c>
      <c r="H95" s="48">
        <f t="shared" si="1"/>
        <v>50</v>
      </c>
    </row>
    <row r="96" spans="2:8" x14ac:dyDescent="0.3">
      <c r="B96" s="13">
        <v>45996</v>
      </c>
      <c r="C96" s="13" t="s">
        <v>127</v>
      </c>
      <c r="D96" s="15" t="s">
        <v>6</v>
      </c>
      <c r="E96" s="18" t="s">
        <v>109</v>
      </c>
      <c r="F96" s="21">
        <v>14</v>
      </c>
      <c r="G96" s="21">
        <v>20</v>
      </c>
      <c r="H96" s="48">
        <f t="shared" si="1"/>
        <v>280</v>
      </c>
    </row>
    <row r="97" spans="2:8" x14ac:dyDescent="0.3">
      <c r="B97" s="13">
        <v>45996</v>
      </c>
      <c r="C97" s="13" t="s">
        <v>127</v>
      </c>
      <c r="D97" s="15" t="s">
        <v>8</v>
      </c>
      <c r="E97" s="18" t="s">
        <v>49</v>
      </c>
      <c r="F97" s="21">
        <v>5</v>
      </c>
      <c r="G97" s="21">
        <v>50</v>
      </c>
      <c r="H97" s="48">
        <f t="shared" si="1"/>
        <v>250</v>
      </c>
    </row>
    <row r="98" spans="2:8" x14ac:dyDescent="0.3">
      <c r="B98" s="13">
        <v>45996</v>
      </c>
      <c r="C98" s="13" t="s">
        <v>127</v>
      </c>
      <c r="D98" s="15" t="s">
        <v>10</v>
      </c>
      <c r="E98" s="18" t="s">
        <v>85</v>
      </c>
      <c r="F98" s="21">
        <v>5</v>
      </c>
      <c r="G98" s="21">
        <v>30</v>
      </c>
      <c r="H98" s="48">
        <f t="shared" si="1"/>
        <v>150</v>
      </c>
    </row>
    <row r="99" spans="2:8" x14ac:dyDescent="0.3">
      <c r="B99" s="13">
        <v>45996</v>
      </c>
      <c r="C99" s="13" t="s">
        <v>127</v>
      </c>
      <c r="D99" s="15" t="s">
        <v>10</v>
      </c>
      <c r="E99" s="18" t="s">
        <v>119</v>
      </c>
      <c r="F99" s="21">
        <v>2</v>
      </c>
      <c r="G99" s="21">
        <v>20</v>
      </c>
      <c r="H99" s="48">
        <f t="shared" si="1"/>
        <v>40</v>
      </c>
    </row>
    <row r="100" spans="2:8" x14ac:dyDescent="0.3">
      <c r="B100" s="13">
        <v>45999</v>
      </c>
      <c r="C100" s="13" t="s">
        <v>127</v>
      </c>
      <c r="D100" s="15" t="s">
        <v>6</v>
      </c>
      <c r="E100" s="18" t="s">
        <v>109</v>
      </c>
      <c r="F100" s="21">
        <v>14</v>
      </c>
      <c r="G100" s="21">
        <v>20</v>
      </c>
      <c r="H100" s="48">
        <f t="shared" si="1"/>
        <v>280</v>
      </c>
    </row>
    <row r="101" spans="2:8" x14ac:dyDescent="0.3">
      <c r="B101" s="13">
        <v>45999</v>
      </c>
      <c r="C101" s="13" t="s">
        <v>127</v>
      </c>
      <c r="D101" s="15" t="s">
        <v>8</v>
      </c>
      <c r="E101" s="18" t="s">
        <v>40</v>
      </c>
      <c r="F101" s="21">
        <v>6</v>
      </c>
      <c r="G101" s="21">
        <v>90</v>
      </c>
      <c r="H101" s="48">
        <f t="shared" si="1"/>
        <v>540</v>
      </c>
    </row>
    <row r="102" spans="2:8" x14ac:dyDescent="0.3">
      <c r="B102" s="13">
        <v>45999</v>
      </c>
      <c r="C102" s="13" t="s">
        <v>127</v>
      </c>
      <c r="D102" s="15" t="s">
        <v>10</v>
      </c>
      <c r="E102" s="18" t="s">
        <v>103</v>
      </c>
      <c r="F102" s="21">
        <v>6</v>
      </c>
      <c r="G102" s="21">
        <v>20</v>
      </c>
      <c r="H102" s="48">
        <f t="shared" si="1"/>
        <v>120</v>
      </c>
    </row>
    <row r="103" spans="2:8" x14ac:dyDescent="0.3">
      <c r="B103" s="13">
        <v>46000</v>
      </c>
      <c r="C103" s="13" t="s">
        <v>127</v>
      </c>
      <c r="D103" s="15" t="s">
        <v>6</v>
      </c>
      <c r="E103" s="18" t="s">
        <v>106</v>
      </c>
      <c r="F103" s="21">
        <v>24</v>
      </c>
      <c r="G103" s="21">
        <v>8</v>
      </c>
      <c r="H103" s="48">
        <f t="shared" si="1"/>
        <v>192</v>
      </c>
    </row>
    <row r="104" spans="2:8" x14ac:dyDescent="0.3">
      <c r="B104" s="13">
        <v>46000</v>
      </c>
      <c r="C104" s="13" t="s">
        <v>127</v>
      </c>
      <c r="D104" s="15" t="s">
        <v>8</v>
      </c>
      <c r="E104" s="18" t="s">
        <v>46</v>
      </c>
      <c r="F104" s="21">
        <v>6</v>
      </c>
      <c r="G104" s="21">
        <v>60</v>
      </c>
      <c r="H104" s="48">
        <f t="shared" si="1"/>
        <v>360</v>
      </c>
    </row>
    <row r="105" spans="2:8" x14ac:dyDescent="0.3">
      <c r="B105" s="13">
        <v>46000</v>
      </c>
      <c r="C105" s="13" t="s">
        <v>127</v>
      </c>
      <c r="D105" s="15" t="s">
        <v>10</v>
      </c>
      <c r="E105" s="18" t="s">
        <v>121</v>
      </c>
      <c r="F105" s="21">
        <v>3</v>
      </c>
      <c r="G105" s="21">
        <v>50</v>
      </c>
      <c r="H105" s="48">
        <f t="shared" si="1"/>
        <v>150</v>
      </c>
    </row>
    <row r="106" spans="2:8" x14ac:dyDescent="0.3">
      <c r="B106" s="13">
        <v>46000</v>
      </c>
      <c r="C106" s="13" t="s">
        <v>127</v>
      </c>
      <c r="D106" s="15" t="s">
        <v>10</v>
      </c>
      <c r="E106" s="18" t="s">
        <v>103</v>
      </c>
      <c r="F106" s="21">
        <v>3</v>
      </c>
      <c r="G106" s="21">
        <v>20</v>
      </c>
      <c r="H106" s="48">
        <f t="shared" si="1"/>
        <v>60</v>
      </c>
    </row>
    <row r="107" spans="2:8" x14ac:dyDescent="0.3">
      <c r="B107" s="13">
        <v>46001</v>
      </c>
      <c r="C107" s="13" t="s">
        <v>127</v>
      </c>
      <c r="D107" s="15" t="s">
        <v>6</v>
      </c>
      <c r="E107" s="18" t="s">
        <v>121</v>
      </c>
      <c r="F107" s="21">
        <v>5</v>
      </c>
      <c r="G107" s="21">
        <v>50</v>
      </c>
      <c r="H107" s="48">
        <f t="shared" si="1"/>
        <v>250</v>
      </c>
    </row>
    <row r="108" spans="2:8" x14ac:dyDescent="0.3">
      <c r="B108" s="13">
        <v>46001</v>
      </c>
      <c r="C108" s="13" t="s">
        <v>127</v>
      </c>
      <c r="D108" s="15" t="s">
        <v>8</v>
      </c>
      <c r="E108" s="18" t="s">
        <v>40</v>
      </c>
      <c r="F108" s="21">
        <v>5</v>
      </c>
      <c r="G108" s="21">
        <v>90</v>
      </c>
      <c r="H108" s="48">
        <f t="shared" si="1"/>
        <v>450</v>
      </c>
    </row>
    <row r="109" spans="2:8" x14ac:dyDescent="0.3">
      <c r="B109" s="13">
        <v>46001</v>
      </c>
      <c r="C109" s="13" t="s">
        <v>127</v>
      </c>
      <c r="D109" s="15" t="s">
        <v>10</v>
      </c>
      <c r="E109" s="18" t="s">
        <v>85</v>
      </c>
      <c r="F109" s="21">
        <v>4</v>
      </c>
      <c r="G109" s="21">
        <v>30</v>
      </c>
      <c r="H109" s="48">
        <f t="shared" si="1"/>
        <v>120</v>
      </c>
    </row>
    <row r="110" spans="2:8" x14ac:dyDescent="0.3">
      <c r="B110" s="13">
        <v>46001</v>
      </c>
      <c r="C110" s="13" t="s">
        <v>127</v>
      </c>
      <c r="D110" s="15" t="s">
        <v>10</v>
      </c>
      <c r="E110" s="18" t="s">
        <v>103</v>
      </c>
      <c r="F110" s="21">
        <v>3</v>
      </c>
      <c r="G110" s="21">
        <v>20</v>
      </c>
      <c r="H110" s="48">
        <f t="shared" si="1"/>
        <v>60</v>
      </c>
    </row>
    <row r="111" spans="2:8" x14ac:dyDescent="0.3">
      <c r="B111" s="13">
        <v>46002</v>
      </c>
      <c r="C111" s="13" t="s">
        <v>127</v>
      </c>
      <c r="D111" s="15" t="s">
        <v>6</v>
      </c>
      <c r="E111" s="18" t="s">
        <v>53</v>
      </c>
      <c r="F111" s="21">
        <v>5</v>
      </c>
      <c r="G111" s="21">
        <v>40</v>
      </c>
      <c r="H111" s="48">
        <f t="shared" si="1"/>
        <v>200</v>
      </c>
    </row>
    <row r="112" spans="2:8" x14ac:dyDescent="0.3">
      <c r="B112" s="13">
        <v>46002</v>
      </c>
      <c r="C112" s="13" t="s">
        <v>127</v>
      </c>
      <c r="D112" s="15" t="s">
        <v>8</v>
      </c>
      <c r="E112" s="18" t="s">
        <v>47</v>
      </c>
      <c r="F112" s="21">
        <v>8</v>
      </c>
      <c r="G112" s="21">
        <v>200</v>
      </c>
      <c r="H112" s="48">
        <f t="shared" si="1"/>
        <v>1600</v>
      </c>
    </row>
    <row r="113" spans="2:8" x14ac:dyDescent="0.3">
      <c r="B113" s="13">
        <v>46002</v>
      </c>
      <c r="C113" s="13" t="s">
        <v>127</v>
      </c>
      <c r="D113" s="15" t="s">
        <v>10</v>
      </c>
      <c r="E113" s="18" t="s">
        <v>112</v>
      </c>
      <c r="F113" s="21">
        <v>3</v>
      </c>
      <c r="G113" s="21">
        <v>5</v>
      </c>
      <c r="H113" s="48">
        <f t="shared" si="1"/>
        <v>15</v>
      </c>
    </row>
    <row r="114" spans="2:8" x14ac:dyDescent="0.3">
      <c r="B114" s="13">
        <v>46003</v>
      </c>
      <c r="C114" s="13" t="s">
        <v>127</v>
      </c>
      <c r="D114" s="15" t="s">
        <v>6</v>
      </c>
      <c r="E114" s="18" t="s">
        <v>109</v>
      </c>
      <c r="F114" s="21">
        <v>13</v>
      </c>
      <c r="G114" s="21">
        <v>20</v>
      </c>
      <c r="H114" s="48">
        <f t="shared" si="1"/>
        <v>260</v>
      </c>
    </row>
    <row r="115" spans="2:8" x14ac:dyDescent="0.3">
      <c r="B115" s="13">
        <v>46003</v>
      </c>
      <c r="C115" s="13" t="s">
        <v>127</v>
      </c>
      <c r="D115" s="15" t="s">
        <v>8</v>
      </c>
      <c r="E115" s="18" t="s">
        <v>49</v>
      </c>
      <c r="F115" s="21">
        <v>5</v>
      </c>
      <c r="G115" s="21">
        <v>60</v>
      </c>
      <c r="H115" s="48">
        <f t="shared" si="1"/>
        <v>300</v>
      </c>
    </row>
    <row r="116" spans="2:8" x14ac:dyDescent="0.3">
      <c r="B116" s="13">
        <v>46003</v>
      </c>
      <c r="C116" s="13" t="s">
        <v>127</v>
      </c>
      <c r="D116" s="15" t="s">
        <v>10</v>
      </c>
      <c r="E116" s="18" t="s">
        <v>111</v>
      </c>
      <c r="F116" s="21">
        <v>2</v>
      </c>
      <c r="G116" s="21">
        <v>60</v>
      </c>
      <c r="H116" s="48">
        <f t="shared" si="1"/>
        <v>120</v>
      </c>
    </row>
    <row r="117" spans="2:8" x14ac:dyDescent="0.3">
      <c r="B117" s="13">
        <v>46003</v>
      </c>
      <c r="C117" s="13" t="s">
        <v>127</v>
      </c>
      <c r="D117" s="15" t="s">
        <v>10</v>
      </c>
      <c r="E117" s="18" t="s">
        <v>105</v>
      </c>
      <c r="F117" s="21">
        <v>3</v>
      </c>
      <c r="G117" s="21">
        <v>20</v>
      </c>
      <c r="H117" s="48">
        <f t="shared" si="1"/>
        <v>60</v>
      </c>
    </row>
    <row r="118" spans="2:8" x14ac:dyDescent="0.3">
      <c r="B118" s="13">
        <v>46006</v>
      </c>
      <c r="C118" s="13" t="s">
        <v>127</v>
      </c>
      <c r="D118" s="15" t="s">
        <v>6</v>
      </c>
      <c r="E118" s="18" t="s">
        <v>109</v>
      </c>
      <c r="F118" s="21">
        <v>12</v>
      </c>
      <c r="G118" s="21">
        <v>20</v>
      </c>
      <c r="H118" s="48">
        <f t="shared" si="1"/>
        <v>240</v>
      </c>
    </row>
    <row r="119" spans="2:8" x14ac:dyDescent="0.3">
      <c r="B119" s="13">
        <v>46006</v>
      </c>
      <c r="C119" s="13" t="s">
        <v>127</v>
      </c>
      <c r="D119" s="15" t="s">
        <v>8</v>
      </c>
      <c r="E119" s="18" t="s">
        <v>40</v>
      </c>
      <c r="F119" s="21">
        <v>6</v>
      </c>
      <c r="G119" s="21">
        <v>90</v>
      </c>
      <c r="H119" s="48">
        <f t="shared" si="1"/>
        <v>540</v>
      </c>
    </row>
    <row r="120" spans="2:8" x14ac:dyDescent="0.3">
      <c r="B120" s="13">
        <v>46006</v>
      </c>
      <c r="C120" s="13" t="s">
        <v>127</v>
      </c>
      <c r="D120" s="15" t="s">
        <v>8</v>
      </c>
      <c r="E120" s="18" t="s">
        <v>104</v>
      </c>
      <c r="F120" s="21">
        <v>2</v>
      </c>
      <c r="G120" s="21">
        <v>30</v>
      </c>
      <c r="H120" s="48">
        <f t="shared" si="1"/>
        <v>60</v>
      </c>
    </row>
    <row r="121" spans="2:8" x14ac:dyDescent="0.3">
      <c r="B121" s="13">
        <v>46006</v>
      </c>
      <c r="C121" s="13" t="s">
        <v>127</v>
      </c>
      <c r="D121" s="15" t="s">
        <v>10</v>
      </c>
      <c r="E121" s="18" t="s">
        <v>111</v>
      </c>
      <c r="F121" s="21">
        <v>3</v>
      </c>
      <c r="G121" s="21">
        <v>50</v>
      </c>
      <c r="H121" s="48">
        <f t="shared" si="1"/>
        <v>150</v>
      </c>
    </row>
    <row r="122" spans="2:8" x14ac:dyDescent="0.3">
      <c r="B122" s="13">
        <v>46006</v>
      </c>
      <c r="C122" s="13" t="s">
        <v>127</v>
      </c>
      <c r="D122" s="15" t="s">
        <v>10</v>
      </c>
      <c r="E122" s="18" t="s">
        <v>105</v>
      </c>
      <c r="F122" s="21">
        <v>2</v>
      </c>
      <c r="G122" s="21">
        <v>20</v>
      </c>
      <c r="H122" s="48">
        <f t="shared" si="1"/>
        <v>40</v>
      </c>
    </row>
    <row r="123" spans="2:8" x14ac:dyDescent="0.3">
      <c r="B123" s="13">
        <v>46007</v>
      </c>
      <c r="C123" s="13" t="s">
        <v>127</v>
      </c>
      <c r="D123" s="15" t="s">
        <v>6</v>
      </c>
      <c r="E123" s="18" t="s">
        <v>103</v>
      </c>
      <c r="F123" s="21">
        <v>12</v>
      </c>
      <c r="G123" s="21">
        <v>20</v>
      </c>
      <c r="H123" s="48">
        <f t="shared" si="1"/>
        <v>240</v>
      </c>
    </row>
    <row r="124" spans="2:8" x14ac:dyDescent="0.3">
      <c r="B124" s="13">
        <v>46007</v>
      </c>
      <c r="C124" s="13" t="s">
        <v>127</v>
      </c>
      <c r="D124" s="15" t="s">
        <v>8</v>
      </c>
      <c r="E124" s="18" t="s">
        <v>60</v>
      </c>
      <c r="F124" s="21">
        <v>6</v>
      </c>
      <c r="G124" s="21">
        <v>50</v>
      </c>
      <c r="H124" s="48">
        <f t="shared" si="1"/>
        <v>300</v>
      </c>
    </row>
    <row r="125" spans="2:8" x14ac:dyDescent="0.3">
      <c r="B125" s="13">
        <v>46007</v>
      </c>
      <c r="C125" s="13" t="s">
        <v>127</v>
      </c>
      <c r="D125" s="15" t="s">
        <v>8</v>
      </c>
      <c r="E125" s="18" t="s">
        <v>107</v>
      </c>
      <c r="F125" s="21">
        <v>6</v>
      </c>
      <c r="G125" s="21">
        <v>10</v>
      </c>
      <c r="H125" s="48">
        <f t="shared" si="1"/>
        <v>60</v>
      </c>
    </row>
    <row r="126" spans="2:8" x14ac:dyDescent="0.3">
      <c r="B126" s="13">
        <v>46007</v>
      </c>
      <c r="C126" s="13" t="s">
        <v>127</v>
      </c>
      <c r="D126" s="15" t="s">
        <v>10</v>
      </c>
      <c r="E126" s="18" t="s">
        <v>103</v>
      </c>
      <c r="F126" s="21">
        <v>2</v>
      </c>
      <c r="G126" s="21">
        <v>20</v>
      </c>
      <c r="H126" s="48">
        <f t="shared" si="1"/>
        <v>40</v>
      </c>
    </row>
    <row r="127" spans="2:8" x14ac:dyDescent="0.3">
      <c r="B127" s="13">
        <v>46007</v>
      </c>
      <c r="C127" s="13" t="s">
        <v>127</v>
      </c>
      <c r="D127" s="15" t="s">
        <v>10</v>
      </c>
      <c r="E127" s="18" t="s">
        <v>85</v>
      </c>
      <c r="F127" s="21">
        <v>4</v>
      </c>
      <c r="G127" s="21">
        <v>30</v>
      </c>
      <c r="H127" s="48">
        <f t="shared" si="1"/>
        <v>120</v>
      </c>
    </row>
    <row r="128" spans="2:8" x14ac:dyDescent="0.3">
      <c r="B128" s="13">
        <v>46008</v>
      </c>
      <c r="C128" s="13" t="s">
        <v>127</v>
      </c>
      <c r="D128" s="15" t="s">
        <v>6</v>
      </c>
      <c r="E128" s="18" t="s">
        <v>106</v>
      </c>
      <c r="F128" s="21">
        <v>14</v>
      </c>
      <c r="G128" s="21">
        <v>8</v>
      </c>
      <c r="H128" s="48">
        <f t="shared" si="1"/>
        <v>112</v>
      </c>
    </row>
    <row r="129" spans="2:8" x14ac:dyDescent="0.3">
      <c r="B129" s="13">
        <v>46008</v>
      </c>
      <c r="C129" s="13" t="s">
        <v>127</v>
      </c>
      <c r="D129" s="15" t="s">
        <v>6</v>
      </c>
      <c r="E129" s="18" t="s">
        <v>109</v>
      </c>
      <c r="F129" s="21">
        <v>2</v>
      </c>
      <c r="G129" s="21">
        <v>20</v>
      </c>
      <c r="H129" s="48">
        <f t="shared" si="1"/>
        <v>40</v>
      </c>
    </row>
    <row r="130" spans="2:8" x14ac:dyDescent="0.3">
      <c r="B130" s="13">
        <v>46008</v>
      </c>
      <c r="C130" s="13" t="s">
        <v>127</v>
      </c>
      <c r="D130" s="15" t="s">
        <v>8</v>
      </c>
      <c r="E130" s="18" t="s">
        <v>63</v>
      </c>
      <c r="F130" s="21">
        <v>4</v>
      </c>
      <c r="G130" s="21">
        <v>90</v>
      </c>
      <c r="H130" s="48">
        <f t="shared" si="1"/>
        <v>360</v>
      </c>
    </row>
    <row r="131" spans="2:8" x14ac:dyDescent="0.3">
      <c r="B131" s="13">
        <v>46008</v>
      </c>
      <c r="C131" s="13" t="s">
        <v>127</v>
      </c>
      <c r="D131" s="15" t="s">
        <v>10</v>
      </c>
      <c r="E131" s="18" t="s">
        <v>103</v>
      </c>
      <c r="F131" s="21">
        <v>6</v>
      </c>
      <c r="G131" s="21">
        <v>20</v>
      </c>
      <c r="H131" s="48">
        <f t="shared" ref="H131:H194" si="2">F131*G131</f>
        <v>120</v>
      </c>
    </row>
    <row r="132" spans="2:8" x14ac:dyDescent="0.3">
      <c r="B132" s="13">
        <v>46009</v>
      </c>
      <c r="C132" s="13" t="s">
        <v>127</v>
      </c>
      <c r="D132" s="15" t="s">
        <v>6</v>
      </c>
      <c r="E132" s="18" t="s">
        <v>118</v>
      </c>
      <c r="F132" s="21">
        <v>8</v>
      </c>
      <c r="G132" s="21">
        <v>20</v>
      </c>
      <c r="H132" s="48">
        <f t="shared" si="2"/>
        <v>160</v>
      </c>
    </row>
    <row r="133" spans="2:8" x14ac:dyDescent="0.3">
      <c r="B133" s="13">
        <v>46009</v>
      </c>
      <c r="C133" s="13" t="s">
        <v>127</v>
      </c>
      <c r="D133" s="15" t="s">
        <v>8</v>
      </c>
      <c r="E133" s="18" t="s">
        <v>47</v>
      </c>
      <c r="F133" s="21">
        <v>5</v>
      </c>
      <c r="G133" s="21">
        <v>200</v>
      </c>
      <c r="H133" s="48">
        <f t="shared" si="2"/>
        <v>1000</v>
      </c>
    </row>
    <row r="134" spans="2:8" x14ac:dyDescent="0.3">
      <c r="B134" s="13">
        <v>46009</v>
      </c>
      <c r="C134" s="13" t="s">
        <v>127</v>
      </c>
      <c r="D134" s="15" t="s">
        <v>10</v>
      </c>
      <c r="E134" s="18" t="s">
        <v>103</v>
      </c>
      <c r="F134" s="21">
        <v>5</v>
      </c>
      <c r="G134" s="21">
        <v>20</v>
      </c>
      <c r="H134" s="48">
        <f t="shared" si="2"/>
        <v>100</v>
      </c>
    </row>
    <row r="135" spans="2:8" x14ac:dyDescent="0.3">
      <c r="B135" s="13">
        <v>46009</v>
      </c>
      <c r="C135" s="13" t="s">
        <v>127</v>
      </c>
      <c r="D135" s="15" t="s">
        <v>10</v>
      </c>
      <c r="E135" s="18" t="s">
        <v>109</v>
      </c>
      <c r="F135" s="21">
        <v>2</v>
      </c>
      <c r="G135" s="21">
        <v>20</v>
      </c>
      <c r="H135" s="48">
        <f t="shared" si="2"/>
        <v>40</v>
      </c>
    </row>
    <row r="136" spans="2:8" x14ac:dyDescent="0.3">
      <c r="B136" s="13">
        <v>46010</v>
      </c>
      <c r="C136" s="13" t="s">
        <v>127</v>
      </c>
      <c r="D136" s="15" t="s">
        <v>6</v>
      </c>
      <c r="E136" s="18" t="s">
        <v>103</v>
      </c>
      <c r="F136" s="21">
        <v>12</v>
      </c>
      <c r="G136" s="21">
        <v>20</v>
      </c>
      <c r="H136" s="48">
        <f t="shared" si="2"/>
        <v>240</v>
      </c>
    </row>
    <row r="137" spans="2:8" x14ac:dyDescent="0.3">
      <c r="B137" s="13">
        <v>46010</v>
      </c>
      <c r="C137" s="13" t="s">
        <v>127</v>
      </c>
      <c r="D137" s="15" t="s">
        <v>8</v>
      </c>
      <c r="E137" s="18" t="s">
        <v>67</v>
      </c>
      <c r="F137" s="21">
        <v>4</v>
      </c>
      <c r="G137" s="21">
        <v>80</v>
      </c>
      <c r="H137" s="48">
        <f t="shared" si="2"/>
        <v>320</v>
      </c>
    </row>
    <row r="138" spans="2:8" x14ac:dyDescent="0.3">
      <c r="B138" s="13">
        <v>46010</v>
      </c>
      <c r="C138" s="13" t="s">
        <v>127</v>
      </c>
      <c r="D138" s="15" t="s">
        <v>8</v>
      </c>
      <c r="E138" s="18" t="s">
        <v>116</v>
      </c>
      <c r="F138" s="21">
        <v>3</v>
      </c>
      <c r="G138" s="21">
        <v>15</v>
      </c>
      <c r="H138" s="48">
        <f t="shared" si="2"/>
        <v>45</v>
      </c>
    </row>
    <row r="139" spans="2:8" x14ac:dyDescent="0.3">
      <c r="B139" s="13">
        <v>46010</v>
      </c>
      <c r="C139" s="13" t="s">
        <v>127</v>
      </c>
      <c r="D139" s="15" t="s">
        <v>10</v>
      </c>
      <c r="E139" s="18" t="s">
        <v>85</v>
      </c>
      <c r="F139" s="21">
        <v>5</v>
      </c>
      <c r="G139" s="21">
        <v>30</v>
      </c>
      <c r="H139" s="48">
        <f t="shared" si="2"/>
        <v>150</v>
      </c>
    </row>
    <row r="140" spans="2:8" x14ac:dyDescent="0.3">
      <c r="B140" s="13">
        <v>46013</v>
      </c>
      <c r="C140" s="13" t="s">
        <v>127</v>
      </c>
      <c r="D140" s="15" t="s">
        <v>6</v>
      </c>
      <c r="E140" s="18" t="s">
        <v>103</v>
      </c>
      <c r="F140" s="21">
        <v>12</v>
      </c>
      <c r="G140" s="21">
        <v>20</v>
      </c>
      <c r="H140" s="48">
        <f t="shared" si="2"/>
        <v>240</v>
      </c>
    </row>
    <row r="141" spans="2:8" x14ac:dyDescent="0.3">
      <c r="B141" s="13">
        <v>46013</v>
      </c>
      <c r="C141" s="13" t="s">
        <v>127</v>
      </c>
      <c r="D141" s="15" t="s">
        <v>8</v>
      </c>
      <c r="E141" s="18" t="s">
        <v>63</v>
      </c>
      <c r="F141" s="21">
        <v>4</v>
      </c>
      <c r="G141" s="21">
        <v>90</v>
      </c>
      <c r="H141" s="48">
        <f t="shared" si="2"/>
        <v>360</v>
      </c>
    </row>
    <row r="142" spans="2:8" x14ac:dyDescent="0.3">
      <c r="B142" s="13">
        <v>46013</v>
      </c>
      <c r="C142" s="13" t="s">
        <v>127</v>
      </c>
      <c r="D142" s="15" t="s">
        <v>8</v>
      </c>
      <c r="E142" s="18" t="s">
        <v>104</v>
      </c>
      <c r="F142" s="21">
        <v>2</v>
      </c>
      <c r="G142" s="21">
        <v>30</v>
      </c>
      <c r="H142" s="48">
        <f t="shared" si="2"/>
        <v>60</v>
      </c>
    </row>
    <row r="143" spans="2:8" x14ac:dyDescent="0.3">
      <c r="B143" s="13">
        <v>46013</v>
      </c>
      <c r="C143" s="13" t="s">
        <v>127</v>
      </c>
      <c r="D143" s="15" t="s">
        <v>10</v>
      </c>
      <c r="E143" s="18" t="s">
        <v>106</v>
      </c>
      <c r="F143" s="21">
        <v>7</v>
      </c>
      <c r="G143" s="21">
        <v>8</v>
      </c>
      <c r="H143" s="48">
        <f t="shared" si="2"/>
        <v>56</v>
      </c>
    </row>
    <row r="144" spans="2:8" x14ac:dyDescent="0.3">
      <c r="B144" s="13">
        <v>46013</v>
      </c>
      <c r="C144" s="13" t="s">
        <v>127</v>
      </c>
      <c r="D144" s="15" t="s">
        <v>10</v>
      </c>
      <c r="E144" s="18" t="s">
        <v>103</v>
      </c>
      <c r="F144" s="21">
        <v>3</v>
      </c>
      <c r="G144" s="21">
        <v>20</v>
      </c>
      <c r="H144" s="48">
        <f t="shared" si="2"/>
        <v>60</v>
      </c>
    </row>
    <row r="145" spans="2:8" x14ac:dyDescent="0.3">
      <c r="B145" s="13">
        <v>46014</v>
      </c>
      <c r="C145" s="13" t="s">
        <v>127</v>
      </c>
      <c r="D145" s="15" t="s">
        <v>6</v>
      </c>
      <c r="E145" s="18" t="s">
        <v>132</v>
      </c>
      <c r="F145" s="21">
        <v>6</v>
      </c>
      <c r="G145" s="21">
        <v>25</v>
      </c>
      <c r="H145" s="48">
        <f t="shared" si="2"/>
        <v>150</v>
      </c>
    </row>
    <row r="146" spans="2:8" x14ac:dyDescent="0.3">
      <c r="B146" s="13">
        <v>46014</v>
      </c>
      <c r="C146" s="13" t="s">
        <v>127</v>
      </c>
      <c r="D146" s="15" t="s">
        <v>6</v>
      </c>
      <c r="E146" s="18" t="s">
        <v>109</v>
      </c>
      <c r="F146" s="21">
        <v>6</v>
      </c>
      <c r="G146" s="21">
        <v>20</v>
      </c>
      <c r="H146" s="48">
        <f t="shared" si="2"/>
        <v>120</v>
      </c>
    </row>
    <row r="147" spans="2:8" x14ac:dyDescent="0.3">
      <c r="B147" s="13">
        <v>46014</v>
      </c>
      <c r="C147" s="13" t="s">
        <v>127</v>
      </c>
      <c r="D147" s="15" t="s">
        <v>8</v>
      </c>
      <c r="E147" s="18" t="s">
        <v>73</v>
      </c>
      <c r="F147" s="21">
        <v>5</v>
      </c>
      <c r="G147" s="21">
        <v>100</v>
      </c>
      <c r="H147" s="48">
        <f t="shared" si="2"/>
        <v>500</v>
      </c>
    </row>
    <row r="148" spans="2:8" x14ac:dyDescent="0.3">
      <c r="B148" s="13">
        <v>46014</v>
      </c>
      <c r="C148" s="13" t="s">
        <v>127</v>
      </c>
      <c r="D148" s="15" t="s">
        <v>8</v>
      </c>
      <c r="E148" s="18" t="s">
        <v>116</v>
      </c>
      <c r="F148" s="21">
        <v>2</v>
      </c>
      <c r="G148" s="21">
        <v>15</v>
      </c>
      <c r="H148" s="48">
        <f t="shared" si="2"/>
        <v>30</v>
      </c>
    </row>
    <row r="149" spans="2:8" x14ac:dyDescent="0.3">
      <c r="B149" s="13">
        <v>46014</v>
      </c>
      <c r="C149" s="13" t="s">
        <v>127</v>
      </c>
      <c r="D149" s="15" t="s">
        <v>10</v>
      </c>
      <c r="E149" s="18" t="s">
        <v>103</v>
      </c>
      <c r="F149" s="21">
        <v>3</v>
      </c>
      <c r="G149" s="21">
        <v>20</v>
      </c>
      <c r="H149" s="48">
        <f t="shared" si="2"/>
        <v>60</v>
      </c>
    </row>
    <row r="150" spans="2:8" x14ac:dyDescent="0.3">
      <c r="B150" s="13">
        <v>46014</v>
      </c>
      <c r="C150" s="13" t="s">
        <v>127</v>
      </c>
      <c r="D150" s="15" t="s">
        <v>10</v>
      </c>
      <c r="E150" s="18" t="s">
        <v>85</v>
      </c>
      <c r="F150" s="21">
        <v>4</v>
      </c>
      <c r="G150" s="21">
        <v>30</v>
      </c>
      <c r="H150" s="48">
        <f t="shared" si="2"/>
        <v>120</v>
      </c>
    </row>
    <row r="151" spans="2:8" x14ac:dyDescent="0.3">
      <c r="B151" s="13">
        <v>46015</v>
      </c>
      <c r="C151" s="13" t="s">
        <v>127</v>
      </c>
      <c r="D151" s="15" t="s">
        <v>10</v>
      </c>
      <c r="E151" s="18" t="s">
        <v>109</v>
      </c>
      <c r="F151" s="21">
        <v>12</v>
      </c>
      <c r="G151" s="21">
        <v>20</v>
      </c>
      <c r="H151" s="48">
        <f t="shared" si="2"/>
        <v>240</v>
      </c>
    </row>
    <row r="152" spans="2:8" x14ac:dyDescent="0.3">
      <c r="B152" s="13">
        <v>46020</v>
      </c>
      <c r="C152" s="13" t="s">
        <v>127</v>
      </c>
      <c r="D152" s="15" t="s">
        <v>6</v>
      </c>
      <c r="E152" s="18" t="s">
        <v>109</v>
      </c>
      <c r="F152" s="21">
        <v>12</v>
      </c>
      <c r="G152" s="21">
        <v>20</v>
      </c>
      <c r="H152" s="48">
        <f t="shared" si="2"/>
        <v>240</v>
      </c>
    </row>
    <row r="153" spans="2:8" x14ac:dyDescent="0.3">
      <c r="B153" s="13">
        <v>46020</v>
      </c>
      <c r="C153" s="13" t="s">
        <v>127</v>
      </c>
      <c r="D153" s="15" t="s">
        <v>8</v>
      </c>
      <c r="E153" s="18" t="s">
        <v>63</v>
      </c>
      <c r="F153" s="21">
        <v>5</v>
      </c>
      <c r="G153" s="21">
        <v>90</v>
      </c>
      <c r="H153" s="48">
        <f t="shared" si="2"/>
        <v>450</v>
      </c>
    </row>
    <row r="154" spans="2:8" x14ac:dyDescent="0.3">
      <c r="B154" s="13">
        <v>46020</v>
      </c>
      <c r="C154" s="13" t="s">
        <v>127</v>
      </c>
      <c r="D154" s="15" t="s">
        <v>8</v>
      </c>
      <c r="E154" s="18" t="s">
        <v>104</v>
      </c>
      <c r="F154" s="21">
        <v>3</v>
      </c>
      <c r="G154" s="21">
        <v>30</v>
      </c>
      <c r="H154" s="48">
        <f t="shared" si="2"/>
        <v>90</v>
      </c>
    </row>
    <row r="155" spans="2:8" x14ac:dyDescent="0.3">
      <c r="B155" s="13">
        <v>46020</v>
      </c>
      <c r="C155" s="13" t="s">
        <v>127</v>
      </c>
      <c r="D155" s="15" t="s">
        <v>10</v>
      </c>
      <c r="E155" s="18" t="s">
        <v>85</v>
      </c>
      <c r="F155" s="21">
        <v>2</v>
      </c>
      <c r="G155" s="21">
        <v>30</v>
      </c>
      <c r="H155" s="48">
        <f t="shared" si="2"/>
        <v>60</v>
      </c>
    </row>
    <row r="156" spans="2:8" x14ac:dyDescent="0.3">
      <c r="B156" s="13">
        <v>46020</v>
      </c>
      <c r="C156" s="13" t="s">
        <v>127</v>
      </c>
      <c r="D156" s="15" t="s">
        <v>10</v>
      </c>
      <c r="E156" s="18" t="s">
        <v>103</v>
      </c>
      <c r="F156" s="21">
        <v>5</v>
      </c>
      <c r="G156" s="21">
        <v>20</v>
      </c>
      <c r="H156" s="48">
        <f t="shared" si="2"/>
        <v>100</v>
      </c>
    </row>
    <row r="157" spans="2:8" x14ac:dyDescent="0.3">
      <c r="B157" s="13">
        <v>46021</v>
      </c>
      <c r="C157" s="13" t="s">
        <v>127</v>
      </c>
      <c r="D157" s="15" t="s">
        <v>6</v>
      </c>
      <c r="E157" s="18" t="s">
        <v>103</v>
      </c>
      <c r="F157" s="21">
        <v>12</v>
      </c>
      <c r="G157" s="21">
        <v>20</v>
      </c>
      <c r="H157" s="48">
        <f t="shared" si="2"/>
        <v>240</v>
      </c>
    </row>
    <row r="158" spans="2:8" x14ac:dyDescent="0.3">
      <c r="B158" s="13">
        <v>46021</v>
      </c>
      <c r="C158" s="13" t="s">
        <v>127</v>
      </c>
      <c r="D158" s="15" t="s">
        <v>8</v>
      </c>
      <c r="E158" s="18" t="s">
        <v>49</v>
      </c>
      <c r="F158" s="21">
        <v>5</v>
      </c>
      <c r="G158" s="21">
        <v>60</v>
      </c>
      <c r="H158" s="48">
        <f t="shared" si="2"/>
        <v>300</v>
      </c>
    </row>
    <row r="159" spans="2:8" x14ac:dyDescent="0.3">
      <c r="B159" s="13">
        <v>46021</v>
      </c>
      <c r="C159" s="13" t="s">
        <v>127</v>
      </c>
      <c r="D159" s="15" t="s">
        <v>10</v>
      </c>
      <c r="E159" s="18" t="s">
        <v>103</v>
      </c>
      <c r="F159" s="21">
        <v>3</v>
      </c>
      <c r="G159" s="21">
        <v>20</v>
      </c>
      <c r="H159" s="48">
        <f t="shared" si="2"/>
        <v>60</v>
      </c>
    </row>
    <row r="160" spans="2:8" x14ac:dyDescent="0.3">
      <c r="B160" s="13">
        <v>46021</v>
      </c>
      <c r="C160" s="13" t="s">
        <v>127</v>
      </c>
      <c r="D160" s="15" t="s">
        <v>10</v>
      </c>
      <c r="E160" s="18" t="s">
        <v>106</v>
      </c>
      <c r="F160" s="21">
        <v>6</v>
      </c>
      <c r="G160" s="21">
        <v>8</v>
      </c>
      <c r="H160" s="48">
        <f t="shared" si="2"/>
        <v>48</v>
      </c>
    </row>
    <row r="161" spans="2:8" x14ac:dyDescent="0.3">
      <c r="B161" s="13">
        <v>46022</v>
      </c>
      <c r="C161" s="13" t="s">
        <v>127</v>
      </c>
      <c r="D161" s="15" t="s">
        <v>6</v>
      </c>
      <c r="E161" s="18" t="s">
        <v>132</v>
      </c>
      <c r="F161" s="21">
        <v>6</v>
      </c>
      <c r="G161" s="21">
        <v>25</v>
      </c>
      <c r="H161" s="48">
        <f t="shared" si="2"/>
        <v>150</v>
      </c>
    </row>
    <row r="162" spans="2:8" x14ac:dyDescent="0.3">
      <c r="B162" s="13">
        <v>46022</v>
      </c>
      <c r="C162" s="13" t="s">
        <v>127</v>
      </c>
      <c r="D162" s="15" t="s">
        <v>6</v>
      </c>
      <c r="E162" s="18" t="s">
        <v>109</v>
      </c>
      <c r="F162" s="21">
        <v>6</v>
      </c>
      <c r="G162" s="21">
        <v>20</v>
      </c>
      <c r="H162" s="48">
        <f t="shared" si="2"/>
        <v>120</v>
      </c>
    </row>
    <row r="163" spans="2:8" x14ac:dyDescent="0.3">
      <c r="B163" s="13">
        <v>46022</v>
      </c>
      <c r="C163" s="13" t="s">
        <v>127</v>
      </c>
      <c r="D163" s="15" t="s">
        <v>8</v>
      </c>
      <c r="E163" s="18" t="s">
        <v>123</v>
      </c>
      <c r="F163" s="21">
        <v>6</v>
      </c>
      <c r="G163" s="21">
        <v>110</v>
      </c>
      <c r="H163" s="48">
        <f t="shared" si="2"/>
        <v>660</v>
      </c>
    </row>
    <row r="164" spans="2:8" x14ac:dyDescent="0.3">
      <c r="B164" s="14">
        <v>46024</v>
      </c>
      <c r="C164" s="14" t="s">
        <v>128</v>
      </c>
      <c r="D164" s="16" t="s">
        <v>6</v>
      </c>
      <c r="E164" s="19" t="s">
        <v>118</v>
      </c>
      <c r="F164" s="22">
        <v>6</v>
      </c>
      <c r="G164" s="22">
        <v>25</v>
      </c>
      <c r="H164" s="48">
        <f t="shared" si="2"/>
        <v>150</v>
      </c>
    </row>
    <row r="165" spans="2:8" x14ac:dyDescent="0.3">
      <c r="B165" s="14">
        <v>46024</v>
      </c>
      <c r="C165" s="14" t="s">
        <v>128</v>
      </c>
      <c r="D165" s="16" t="s">
        <v>6</v>
      </c>
      <c r="E165" s="19" t="s">
        <v>119</v>
      </c>
      <c r="F165" s="22">
        <v>6</v>
      </c>
      <c r="G165" s="22">
        <v>20</v>
      </c>
      <c r="H165" s="48">
        <f t="shared" si="2"/>
        <v>120</v>
      </c>
    </row>
    <row r="166" spans="2:8" x14ac:dyDescent="0.3">
      <c r="B166" s="14">
        <v>46024</v>
      </c>
      <c r="C166" s="14" t="s">
        <v>128</v>
      </c>
      <c r="D166" s="16" t="s">
        <v>8</v>
      </c>
      <c r="E166" s="19" t="s">
        <v>40</v>
      </c>
      <c r="F166" s="22">
        <v>5</v>
      </c>
      <c r="G166" s="22">
        <v>90</v>
      </c>
      <c r="H166" s="48">
        <f t="shared" si="2"/>
        <v>450</v>
      </c>
    </row>
    <row r="167" spans="2:8" x14ac:dyDescent="0.3">
      <c r="B167" s="14">
        <v>46024</v>
      </c>
      <c r="C167" s="14" t="s">
        <v>128</v>
      </c>
      <c r="D167" s="16" t="s">
        <v>8</v>
      </c>
      <c r="E167" s="19" t="s">
        <v>104</v>
      </c>
      <c r="F167" s="22">
        <v>2</v>
      </c>
      <c r="G167" s="22">
        <v>30</v>
      </c>
      <c r="H167" s="48">
        <f t="shared" si="2"/>
        <v>60</v>
      </c>
    </row>
    <row r="168" spans="2:8" x14ac:dyDescent="0.3">
      <c r="B168" s="14">
        <v>46024</v>
      </c>
      <c r="C168" s="14" t="s">
        <v>128</v>
      </c>
      <c r="D168" s="16" t="s">
        <v>10</v>
      </c>
      <c r="E168" s="19" t="s">
        <v>119</v>
      </c>
      <c r="F168" s="22">
        <v>2</v>
      </c>
      <c r="G168" s="22">
        <v>20</v>
      </c>
      <c r="H168" s="48">
        <f t="shared" si="2"/>
        <v>40</v>
      </c>
    </row>
    <row r="169" spans="2:8" x14ac:dyDescent="0.3">
      <c r="B169" s="14">
        <v>46024</v>
      </c>
      <c r="C169" s="14" t="s">
        <v>128</v>
      </c>
      <c r="D169" s="16" t="s">
        <v>10</v>
      </c>
      <c r="E169" s="19" t="s">
        <v>85</v>
      </c>
      <c r="F169" s="22">
        <v>2</v>
      </c>
      <c r="G169" s="22">
        <v>35</v>
      </c>
      <c r="H169" s="48">
        <f t="shared" si="2"/>
        <v>70</v>
      </c>
    </row>
    <row r="170" spans="2:8" x14ac:dyDescent="0.3">
      <c r="B170" s="14">
        <v>46024</v>
      </c>
      <c r="C170" s="14" t="s">
        <v>128</v>
      </c>
      <c r="D170" s="16" t="s">
        <v>10</v>
      </c>
      <c r="E170" s="19" t="s">
        <v>103</v>
      </c>
      <c r="F170" s="22">
        <v>3</v>
      </c>
      <c r="G170" s="22">
        <v>25</v>
      </c>
      <c r="H170" s="48">
        <f t="shared" si="2"/>
        <v>75</v>
      </c>
    </row>
    <row r="171" spans="2:8" x14ac:dyDescent="0.3">
      <c r="B171" s="14">
        <v>46027</v>
      </c>
      <c r="C171" s="14" t="s">
        <v>128</v>
      </c>
      <c r="D171" s="16" t="s">
        <v>6</v>
      </c>
      <c r="E171" s="19" t="s">
        <v>106</v>
      </c>
      <c r="F171" s="22">
        <v>20</v>
      </c>
      <c r="G171" s="22">
        <v>8</v>
      </c>
      <c r="H171" s="48">
        <f t="shared" si="2"/>
        <v>160</v>
      </c>
    </row>
    <row r="172" spans="2:8" x14ac:dyDescent="0.3">
      <c r="B172" s="14">
        <v>46027</v>
      </c>
      <c r="C172" s="14" t="s">
        <v>128</v>
      </c>
      <c r="D172" s="16" t="s">
        <v>8</v>
      </c>
      <c r="E172" s="19" t="s">
        <v>40</v>
      </c>
      <c r="F172" s="22">
        <v>5</v>
      </c>
      <c r="G172" s="22">
        <v>90</v>
      </c>
      <c r="H172" s="48">
        <f t="shared" si="2"/>
        <v>450</v>
      </c>
    </row>
    <row r="173" spans="2:8" x14ac:dyDescent="0.3">
      <c r="B173" s="14">
        <v>46027</v>
      </c>
      <c r="C173" s="14" t="s">
        <v>128</v>
      </c>
      <c r="D173" s="16" t="s">
        <v>8</v>
      </c>
      <c r="E173" s="19" t="s">
        <v>104</v>
      </c>
      <c r="F173" s="22">
        <v>2</v>
      </c>
      <c r="G173" s="22">
        <v>30</v>
      </c>
      <c r="H173" s="48">
        <f t="shared" si="2"/>
        <v>60</v>
      </c>
    </row>
    <row r="174" spans="2:8" x14ac:dyDescent="0.3">
      <c r="B174" s="14">
        <v>46027</v>
      </c>
      <c r="C174" s="14" t="s">
        <v>128</v>
      </c>
      <c r="D174" s="16" t="s">
        <v>10</v>
      </c>
      <c r="E174" s="19" t="s">
        <v>122</v>
      </c>
      <c r="F174" s="22">
        <v>6</v>
      </c>
      <c r="G174" s="22">
        <v>30</v>
      </c>
      <c r="H174" s="48">
        <f t="shared" si="2"/>
        <v>180</v>
      </c>
    </row>
    <row r="175" spans="2:8" x14ac:dyDescent="0.3">
      <c r="B175" s="14">
        <v>46027</v>
      </c>
      <c r="C175" s="14" t="s">
        <v>128</v>
      </c>
      <c r="D175" s="16" t="s">
        <v>10</v>
      </c>
      <c r="E175" s="19" t="s">
        <v>103</v>
      </c>
      <c r="F175" s="22">
        <v>1</v>
      </c>
      <c r="G175" s="22">
        <v>20</v>
      </c>
      <c r="H175" s="48">
        <f t="shared" si="2"/>
        <v>20</v>
      </c>
    </row>
    <row r="176" spans="2:8" x14ac:dyDescent="0.3">
      <c r="B176" s="14">
        <v>46028</v>
      </c>
      <c r="C176" s="14" t="s">
        <v>128</v>
      </c>
      <c r="D176" s="16" t="s">
        <v>6</v>
      </c>
      <c r="E176" s="19" t="s">
        <v>119</v>
      </c>
      <c r="F176" s="22">
        <v>11</v>
      </c>
      <c r="G176" s="22">
        <v>20</v>
      </c>
      <c r="H176" s="48">
        <f t="shared" si="2"/>
        <v>220</v>
      </c>
    </row>
    <row r="177" spans="2:8" x14ac:dyDescent="0.3">
      <c r="B177" s="14">
        <v>46028</v>
      </c>
      <c r="C177" s="14" t="s">
        <v>128</v>
      </c>
      <c r="D177" s="16" t="s">
        <v>8</v>
      </c>
      <c r="E177" s="19" t="s">
        <v>120</v>
      </c>
      <c r="F177" s="22">
        <v>4</v>
      </c>
      <c r="G177" s="22">
        <v>130</v>
      </c>
      <c r="H177" s="48">
        <f t="shared" si="2"/>
        <v>520</v>
      </c>
    </row>
    <row r="178" spans="2:8" x14ac:dyDescent="0.3">
      <c r="B178" s="14">
        <v>46028</v>
      </c>
      <c r="C178" s="14" t="s">
        <v>128</v>
      </c>
      <c r="D178" s="16" t="s">
        <v>10</v>
      </c>
      <c r="E178" s="19" t="s">
        <v>103</v>
      </c>
      <c r="F178" s="22">
        <v>4</v>
      </c>
      <c r="G178" s="22">
        <v>20</v>
      </c>
      <c r="H178" s="48">
        <f t="shared" si="2"/>
        <v>80</v>
      </c>
    </row>
    <row r="179" spans="2:8" x14ac:dyDescent="0.3">
      <c r="B179" s="14">
        <v>46029</v>
      </c>
      <c r="C179" s="14" t="s">
        <v>128</v>
      </c>
      <c r="D179" s="16" t="s">
        <v>6</v>
      </c>
      <c r="E179" s="19" t="s">
        <v>103</v>
      </c>
      <c r="F179" s="22">
        <v>10</v>
      </c>
      <c r="G179" s="22">
        <v>20</v>
      </c>
      <c r="H179" s="48">
        <f t="shared" si="2"/>
        <v>200</v>
      </c>
    </row>
    <row r="180" spans="2:8" x14ac:dyDescent="0.3">
      <c r="B180" s="14">
        <v>46029</v>
      </c>
      <c r="C180" s="14" t="s">
        <v>128</v>
      </c>
      <c r="D180" s="16" t="s">
        <v>8</v>
      </c>
      <c r="E180" s="19" t="s">
        <v>88</v>
      </c>
      <c r="F180" s="22">
        <v>5</v>
      </c>
      <c r="G180" s="22">
        <v>250</v>
      </c>
      <c r="H180" s="48">
        <f t="shared" si="2"/>
        <v>1250</v>
      </c>
    </row>
    <row r="181" spans="2:8" x14ac:dyDescent="0.3">
      <c r="B181" s="14">
        <v>46029</v>
      </c>
      <c r="C181" s="14" t="s">
        <v>128</v>
      </c>
      <c r="D181" s="16" t="s">
        <v>10</v>
      </c>
      <c r="E181" s="19" t="s">
        <v>103</v>
      </c>
      <c r="F181" s="22">
        <v>4</v>
      </c>
      <c r="G181" s="22">
        <v>20</v>
      </c>
      <c r="H181" s="48">
        <f t="shared" si="2"/>
        <v>80</v>
      </c>
    </row>
    <row r="182" spans="2:8" x14ac:dyDescent="0.3">
      <c r="B182" s="14">
        <v>46030</v>
      </c>
      <c r="C182" s="14" t="s">
        <v>128</v>
      </c>
      <c r="D182" s="16" t="s">
        <v>6</v>
      </c>
      <c r="E182" s="19" t="s">
        <v>85</v>
      </c>
      <c r="F182" s="22">
        <v>7</v>
      </c>
      <c r="G182" s="22">
        <v>35</v>
      </c>
      <c r="H182" s="48">
        <f t="shared" si="2"/>
        <v>245</v>
      </c>
    </row>
    <row r="183" spans="2:8" x14ac:dyDescent="0.3">
      <c r="B183" s="14">
        <v>46030</v>
      </c>
      <c r="C183" s="14" t="s">
        <v>128</v>
      </c>
      <c r="D183" s="16" t="s">
        <v>8</v>
      </c>
      <c r="E183" s="19" t="s">
        <v>89</v>
      </c>
      <c r="F183" s="22">
        <v>1</v>
      </c>
      <c r="G183" s="22">
        <v>40</v>
      </c>
      <c r="H183" s="48">
        <f t="shared" si="2"/>
        <v>40</v>
      </c>
    </row>
    <row r="184" spans="2:8" x14ac:dyDescent="0.3">
      <c r="B184" s="14">
        <v>46030</v>
      </c>
      <c r="C184" s="14" t="s">
        <v>128</v>
      </c>
      <c r="D184" s="16" t="s">
        <v>8</v>
      </c>
      <c r="E184" s="19" t="s">
        <v>123</v>
      </c>
      <c r="F184" s="22">
        <v>2</v>
      </c>
      <c r="G184" s="22">
        <v>80</v>
      </c>
      <c r="H184" s="48">
        <f t="shared" si="2"/>
        <v>160</v>
      </c>
    </row>
    <row r="185" spans="2:8" x14ac:dyDescent="0.3">
      <c r="B185" s="14">
        <v>46030</v>
      </c>
      <c r="C185" s="14" t="s">
        <v>128</v>
      </c>
      <c r="D185" s="16" t="s">
        <v>10</v>
      </c>
      <c r="E185" s="19" t="s">
        <v>103</v>
      </c>
      <c r="F185" s="22">
        <v>2</v>
      </c>
      <c r="G185" s="22">
        <v>20</v>
      </c>
      <c r="H185" s="48">
        <f t="shared" si="2"/>
        <v>40</v>
      </c>
    </row>
    <row r="186" spans="2:8" x14ac:dyDescent="0.3">
      <c r="B186" s="14">
        <v>46031</v>
      </c>
      <c r="C186" s="14" t="s">
        <v>128</v>
      </c>
      <c r="D186" s="16" t="s">
        <v>6</v>
      </c>
      <c r="E186" s="19" t="s">
        <v>103</v>
      </c>
      <c r="F186" s="22">
        <v>12</v>
      </c>
      <c r="G186" s="22">
        <v>20</v>
      </c>
      <c r="H186" s="48">
        <f t="shared" si="2"/>
        <v>240</v>
      </c>
    </row>
    <row r="187" spans="2:8" x14ac:dyDescent="0.3">
      <c r="B187" s="14">
        <v>46031</v>
      </c>
      <c r="C187" s="14" t="s">
        <v>128</v>
      </c>
      <c r="D187" s="16" t="s">
        <v>8</v>
      </c>
      <c r="E187" s="19" t="s">
        <v>43</v>
      </c>
      <c r="F187" s="22">
        <v>4</v>
      </c>
      <c r="G187" s="22">
        <v>80</v>
      </c>
      <c r="H187" s="48">
        <f t="shared" si="2"/>
        <v>320</v>
      </c>
    </row>
    <row r="188" spans="2:8" x14ac:dyDescent="0.3">
      <c r="B188" s="14">
        <v>46031</v>
      </c>
      <c r="C188" s="14" t="s">
        <v>128</v>
      </c>
      <c r="D188" s="16" t="s">
        <v>8</v>
      </c>
      <c r="E188" s="19" t="s">
        <v>89</v>
      </c>
      <c r="F188" s="22">
        <v>1</v>
      </c>
      <c r="G188" s="22">
        <v>40</v>
      </c>
      <c r="H188" s="48">
        <f t="shared" si="2"/>
        <v>40</v>
      </c>
    </row>
    <row r="189" spans="2:8" x14ac:dyDescent="0.3">
      <c r="B189" s="14">
        <v>46032</v>
      </c>
      <c r="C189" s="14" t="s">
        <v>128</v>
      </c>
      <c r="D189" s="16" t="s">
        <v>6</v>
      </c>
      <c r="E189" s="19" t="s">
        <v>92</v>
      </c>
      <c r="F189" s="22">
        <v>5</v>
      </c>
      <c r="G189" s="22">
        <v>40</v>
      </c>
      <c r="H189" s="48">
        <f t="shared" si="2"/>
        <v>200</v>
      </c>
    </row>
    <row r="190" spans="2:8" x14ac:dyDescent="0.3">
      <c r="B190" s="14">
        <v>46032</v>
      </c>
      <c r="C190" s="14" t="s">
        <v>128</v>
      </c>
      <c r="D190" s="16" t="s">
        <v>6</v>
      </c>
      <c r="E190" s="19" t="s">
        <v>119</v>
      </c>
      <c r="F190" s="22">
        <v>4</v>
      </c>
      <c r="G190" s="22">
        <v>20</v>
      </c>
      <c r="H190" s="48">
        <f t="shared" si="2"/>
        <v>80</v>
      </c>
    </row>
    <row r="191" spans="2:8" x14ac:dyDescent="0.3">
      <c r="B191" s="14">
        <v>46032</v>
      </c>
      <c r="C191" s="14" t="s">
        <v>128</v>
      </c>
      <c r="D191" s="16" t="s">
        <v>8</v>
      </c>
      <c r="E191" s="19" t="s">
        <v>113</v>
      </c>
      <c r="F191" s="22">
        <v>3</v>
      </c>
      <c r="G191" s="22">
        <v>80</v>
      </c>
      <c r="H191" s="48">
        <f t="shared" si="2"/>
        <v>240</v>
      </c>
    </row>
    <row r="192" spans="2:8" x14ac:dyDescent="0.3">
      <c r="B192" s="14">
        <v>46032</v>
      </c>
      <c r="C192" s="14" t="s">
        <v>128</v>
      </c>
      <c r="D192" s="16" t="s">
        <v>8</v>
      </c>
      <c r="E192" s="19" t="s">
        <v>94</v>
      </c>
      <c r="F192" s="22">
        <v>5</v>
      </c>
      <c r="G192" s="22">
        <v>30</v>
      </c>
      <c r="H192" s="48">
        <f t="shared" si="2"/>
        <v>150</v>
      </c>
    </row>
    <row r="193" spans="2:8" x14ac:dyDescent="0.3">
      <c r="B193" s="14">
        <v>46034</v>
      </c>
      <c r="C193" s="14" t="s">
        <v>128</v>
      </c>
      <c r="D193" s="16" t="s">
        <v>6</v>
      </c>
      <c r="E193" s="19" t="s">
        <v>118</v>
      </c>
      <c r="F193" s="22">
        <v>6</v>
      </c>
      <c r="G193" s="22">
        <v>25</v>
      </c>
      <c r="H193" s="48">
        <f t="shared" si="2"/>
        <v>150</v>
      </c>
    </row>
    <row r="194" spans="2:8" x14ac:dyDescent="0.3">
      <c r="B194" s="14">
        <v>46034</v>
      </c>
      <c r="C194" s="14" t="s">
        <v>128</v>
      </c>
      <c r="D194" s="16" t="s">
        <v>6</v>
      </c>
      <c r="E194" s="19" t="s">
        <v>119</v>
      </c>
      <c r="F194" s="22">
        <v>6</v>
      </c>
      <c r="G194" s="22">
        <v>20</v>
      </c>
      <c r="H194" s="48">
        <f t="shared" si="2"/>
        <v>120</v>
      </c>
    </row>
    <row r="195" spans="2:8" x14ac:dyDescent="0.3">
      <c r="B195" s="14">
        <v>46034</v>
      </c>
      <c r="C195" s="14" t="s">
        <v>128</v>
      </c>
      <c r="D195" s="16" t="s">
        <v>8</v>
      </c>
      <c r="E195" s="19" t="s">
        <v>40</v>
      </c>
      <c r="F195" s="22">
        <v>5</v>
      </c>
      <c r="G195" s="22">
        <v>90</v>
      </c>
      <c r="H195" s="48">
        <f t="shared" ref="H195:H221" si="3">F195*G195</f>
        <v>450</v>
      </c>
    </row>
    <row r="196" spans="2:8" x14ac:dyDescent="0.3">
      <c r="B196" s="14">
        <v>46034</v>
      </c>
      <c r="C196" s="14" t="s">
        <v>128</v>
      </c>
      <c r="D196" s="16" t="s">
        <v>8</v>
      </c>
      <c r="E196" s="19" t="s">
        <v>104</v>
      </c>
      <c r="F196" s="22">
        <v>3</v>
      </c>
      <c r="G196" s="22">
        <v>30</v>
      </c>
      <c r="H196" s="48">
        <f t="shared" si="3"/>
        <v>90</v>
      </c>
    </row>
    <row r="197" spans="2:8" x14ac:dyDescent="0.3">
      <c r="B197" s="14">
        <v>46034</v>
      </c>
      <c r="C197" s="14" t="s">
        <v>128</v>
      </c>
      <c r="D197" s="16" t="s">
        <v>10</v>
      </c>
      <c r="E197" s="19" t="s">
        <v>103</v>
      </c>
      <c r="F197" s="22">
        <v>7</v>
      </c>
      <c r="G197" s="22">
        <v>20</v>
      </c>
      <c r="H197" s="48">
        <f t="shared" si="3"/>
        <v>140</v>
      </c>
    </row>
    <row r="198" spans="2:8" x14ac:dyDescent="0.3">
      <c r="B198" s="14">
        <v>46035</v>
      </c>
      <c r="C198" s="14" t="s">
        <v>128</v>
      </c>
      <c r="D198" s="16" t="s">
        <v>6</v>
      </c>
      <c r="E198" s="19" t="s">
        <v>106</v>
      </c>
      <c r="F198" s="22">
        <v>19</v>
      </c>
      <c r="G198" s="22">
        <v>8</v>
      </c>
      <c r="H198" s="48">
        <f t="shared" si="3"/>
        <v>152</v>
      </c>
    </row>
    <row r="199" spans="2:8" x14ac:dyDescent="0.3">
      <c r="B199" s="14">
        <v>46035</v>
      </c>
      <c r="C199" s="14" t="s">
        <v>128</v>
      </c>
      <c r="D199" s="16" t="s">
        <v>8</v>
      </c>
      <c r="E199" s="19" t="s">
        <v>95</v>
      </c>
      <c r="F199" s="22">
        <v>4</v>
      </c>
      <c r="G199" s="22">
        <v>130</v>
      </c>
      <c r="H199" s="48">
        <f t="shared" si="3"/>
        <v>520</v>
      </c>
    </row>
    <row r="200" spans="2:8" x14ac:dyDescent="0.3">
      <c r="B200" s="14">
        <v>46036</v>
      </c>
      <c r="C200" s="14" t="s">
        <v>128</v>
      </c>
      <c r="D200" s="16" t="s">
        <v>6</v>
      </c>
      <c r="E200" s="19" t="s">
        <v>119</v>
      </c>
      <c r="F200" s="22">
        <v>12</v>
      </c>
      <c r="G200" s="22">
        <v>20</v>
      </c>
      <c r="H200" s="48">
        <f t="shared" si="3"/>
        <v>240</v>
      </c>
    </row>
    <row r="201" spans="2:8" x14ac:dyDescent="0.3">
      <c r="B201" s="14">
        <v>46036</v>
      </c>
      <c r="C201" s="14" t="s">
        <v>128</v>
      </c>
      <c r="D201" s="16" t="s">
        <v>8</v>
      </c>
      <c r="E201" s="19" t="s">
        <v>40</v>
      </c>
      <c r="F201" s="22">
        <v>4</v>
      </c>
      <c r="G201" s="22">
        <v>90</v>
      </c>
      <c r="H201" s="48">
        <f t="shared" si="3"/>
        <v>360</v>
      </c>
    </row>
    <row r="202" spans="2:8" x14ac:dyDescent="0.3">
      <c r="B202" s="14">
        <v>46036</v>
      </c>
      <c r="C202" s="14" t="s">
        <v>128</v>
      </c>
      <c r="D202" s="16" t="s">
        <v>8</v>
      </c>
      <c r="E202" s="19" t="s">
        <v>104</v>
      </c>
      <c r="F202" s="22">
        <v>3</v>
      </c>
      <c r="G202" s="22">
        <v>30</v>
      </c>
      <c r="H202" s="48">
        <f t="shared" si="3"/>
        <v>90</v>
      </c>
    </row>
    <row r="203" spans="2:8" x14ac:dyDescent="0.3">
      <c r="B203" s="14">
        <v>46037</v>
      </c>
      <c r="C203" s="14" t="s">
        <v>128</v>
      </c>
      <c r="D203" s="16" t="s">
        <v>6</v>
      </c>
      <c r="E203" s="19" t="s">
        <v>119</v>
      </c>
      <c r="F203" s="22">
        <v>6</v>
      </c>
      <c r="G203" s="22">
        <v>20</v>
      </c>
      <c r="H203" s="48">
        <f t="shared" si="3"/>
        <v>120</v>
      </c>
    </row>
    <row r="204" spans="2:8" x14ac:dyDescent="0.3">
      <c r="B204" s="14">
        <v>46037</v>
      </c>
      <c r="C204" s="14" t="s">
        <v>128</v>
      </c>
      <c r="D204" s="16" t="s">
        <v>8</v>
      </c>
      <c r="E204" s="19" t="s">
        <v>40</v>
      </c>
      <c r="F204" s="22">
        <v>3</v>
      </c>
      <c r="G204" s="22">
        <v>90</v>
      </c>
      <c r="H204" s="48">
        <f t="shared" si="3"/>
        <v>270</v>
      </c>
    </row>
    <row r="205" spans="2:8" x14ac:dyDescent="0.3">
      <c r="B205" s="14">
        <v>46041</v>
      </c>
      <c r="C205" s="14" t="s">
        <v>128</v>
      </c>
      <c r="D205" s="16" t="s">
        <v>6</v>
      </c>
      <c r="E205" s="19" t="s">
        <v>119</v>
      </c>
      <c r="F205" s="22">
        <v>6</v>
      </c>
      <c r="G205" s="22">
        <v>20</v>
      </c>
      <c r="H205" s="48">
        <f t="shared" si="3"/>
        <v>120</v>
      </c>
    </row>
    <row r="206" spans="2:8" x14ac:dyDescent="0.3">
      <c r="B206" s="14">
        <v>46041</v>
      </c>
      <c r="C206" s="14" t="s">
        <v>128</v>
      </c>
      <c r="D206" s="16" t="s">
        <v>8</v>
      </c>
      <c r="E206" s="19" t="s">
        <v>40</v>
      </c>
      <c r="F206" s="22">
        <v>3</v>
      </c>
      <c r="G206" s="22">
        <v>90</v>
      </c>
      <c r="H206" s="48">
        <f t="shared" si="3"/>
        <v>270</v>
      </c>
    </row>
    <row r="207" spans="2:8" x14ac:dyDescent="0.3">
      <c r="B207" s="14">
        <v>46041</v>
      </c>
      <c r="C207" s="14" t="s">
        <v>128</v>
      </c>
      <c r="D207" s="16" t="s">
        <v>10</v>
      </c>
      <c r="E207" s="19" t="s">
        <v>111</v>
      </c>
      <c r="F207" s="22">
        <v>1</v>
      </c>
      <c r="G207" s="22">
        <v>70</v>
      </c>
      <c r="H207" s="48">
        <f t="shared" si="3"/>
        <v>70</v>
      </c>
    </row>
    <row r="208" spans="2:8" x14ac:dyDescent="0.3">
      <c r="B208" s="14">
        <v>46042</v>
      </c>
      <c r="C208" s="14" t="s">
        <v>128</v>
      </c>
      <c r="D208" s="16" t="s">
        <v>6</v>
      </c>
      <c r="E208" s="19" t="s">
        <v>106</v>
      </c>
      <c r="F208" s="22">
        <v>9</v>
      </c>
      <c r="G208" s="22">
        <v>8</v>
      </c>
      <c r="H208" s="48">
        <f t="shared" si="3"/>
        <v>72</v>
      </c>
    </row>
    <row r="209" spans="2:8" x14ac:dyDescent="0.3">
      <c r="B209" s="14">
        <v>46042</v>
      </c>
      <c r="C209" s="14" t="s">
        <v>128</v>
      </c>
      <c r="D209" s="16" t="s">
        <v>8</v>
      </c>
      <c r="E209" s="19" t="s">
        <v>123</v>
      </c>
      <c r="F209" s="22">
        <v>2</v>
      </c>
      <c r="G209" s="22">
        <v>80</v>
      </c>
      <c r="H209" s="48">
        <f t="shared" si="3"/>
        <v>160</v>
      </c>
    </row>
    <row r="210" spans="2:8" x14ac:dyDescent="0.3">
      <c r="B210" s="14">
        <v>46042</v>
      </c>
      <c r="C210" s="14" t="s">
        <v>128</v>
      </c>
      <c r="D210" s="16" t="s">
        <v>8</v>
      </c>
      <c r="E210" s="19" t="s">
        <v>89</v>
      </c>
      <c r="F210" s="22">
        <v>1</v>
      </c>
      <c r="G210" s="22">
        <v>40</v>
      </c>
      <c r="H210" s="48">
        <f t="shared" si="3"/>
        <v>40</v>
      </c>
    </row>
    <row r="211" spans="2:8" x14ac:dyDescent="0.3">
      <c r="B211" s="14">
        <v>46042</v>
      </c>
      <c r="C211" s="14" t="s">
        <v>128</v>
      </c>
      <c r="D211" s="16" t="s">
        <v>10</v>
      </c>
      <c r="E211" s="19" t="s">
        <v>103</v>
      </c>
      <c r="F211" s="22">
        <v>2</v>
      </c>
      <c r="G211" s="22">
        <v>25</v>
      </c>
      <c r="H211" s="48">
        <f t="shared" si="3"/>
        <v>50</v>
      </c>
    </row>
    <row r="212" spans="2:8" x14ac:dyDescent="0.3">
      <c r="B212" s="14">
        <v>46043</v>
      </c>
      <c r="C212" s="14" t="s">
        <v>128</v>
      </c>
      <c r="D212" s="16" t="s">
        <v>6</v>
      </c>
      <c r="E212" s="19" t="s">
        <v>119</v>
      </c>
      <c r="F212" s="22">
        <v>8</v>
      </c>
      <c r="G212" s="22">
        <v>20</v>
      </c>
      <c r="H212" s="48">
        <f t="shared" si="3"/>
        <v>160</v>
      </c>
    </row>
    <row r="213" spans="2:8" x14ac:dyDescent="0.3">
      <c r="B213" s="14">
        <v>46043</v>
      </c>
      <c r="C213" s="14" t="s">
        <v>128</v>
      </c>
      <c r="D213" s="16" t="s">
        <v>8</v>
      </c>
      <c r="E213" s="19" t="s">
        <v>46</v>
      </c>
      <c r="F213" s="22">
        <v>3</v>
      </c>
      <c r="G213" s="22">
        <v>50</v>
      </c>
      <c r="H213" s="48">
        <f t="shared" si="3"/>
        <v>150</v>
      </c>
    </row>
    <row r="214" spans="2:8" x14ac:dyDescent="0.3">
      <c r="B214" s="14">
        <v>46044</v>
      </c>
      <c r="C214" s="14" t="s">
        <v>128</v>
      </c>
      <c r="D214" s="16" t="s">
        <v>8</v>
      </c>
      <c r="E214" s="19" t="s">
        <v>47</v>
      </c>
      <c r="F214" s="22">
        <v>3</v>
      </c>
      <c r="G214" s="22">
        <v>200</v>
      </c>
      <c r="H214" s="48">
        <f t="shared" si="3"/>
        <v>600</v>
      </c>
    </row>
    <row r="215" spans="2:8" x14ac:dyDescent="0.3">
      <c r="B215" s="14">
        <v>46044</v>
      </c>
      <c r="C215" s="14" t="s">
        <v>128</v>
      </c>
      <c r="D215" s="16" t="s">
        <v>10</v>
      </c>
      <c r="E215" s="19" t="s">
        <v>103</v>
      </c>
      <c r="F215" s="22">
        <v>2</v>
      </c>
      <c r="G215" s="22">
        <v>25</v>
      </c>
      <c r="H215" s="48">
        <f t="shared" si="3"/>
        <v>50</v>
      </c>
    </row>
    <row r="216" spans="2:8" x14ac:dyDescent="0.3">
      <c r="B216" s="14">
        <v>46045</v>
      </c>
      <c r="C216" s="14" t="s">
        <v>128</v>
      </c>
      <c r="D216" s="16" t="s">
        <v>8</v>
      </c>
      <c r="E216" s="19" t="s">
        <v>40</v>
      </c>
      <c r="F216" s="22">
        <v>2</v>
      </c>
      <c r="G216" s="22">
        <v>90</v>
      </c>
      <c r="H216" s="48">
        <f t="shared" si="3"/>
        <v>180</v>
      </c>
    </row>
    <row r="217" spans="2:8" x14ac:dyDescent="0.3">
      <c r="B217" s="14">
        <v>46046</v>
      </c>
      <c r="C217" s="14" t="s">
        <v>128</v>
      </c>
      <c r="D217" s="16" t="s">
        <v>10</v>
      </c>
      <c r="E217" s="19" t="s">
        <v>103</v>
      </c>
      <c r="F217" s="22">
        <v>3</v>
      </c>
      <c r="G217" s="22">
        <v>25</v>
      </c>
      <c r="H217" s="48">
        <f t="shared" si="3"/>
        <v>75</v>
      </c>
    </row>
    <row r="218" spans="2:8" x14ac:dyDescent="0.3">
      <c r="B218" s="14">
        <v>46048</v>
      </c>
      <c r="C218" s="14" t="s">
        <v>128</v>
      </c>
      <c r="D218" s="16" t="s">
        <v>10</v>
      </c>
      <c r="E218" s="19" t="s">
        <v>103</v>
      </c>
      <c r="F218" s="22">
        <v>2</v>
      </c>
      <c r="G218" s="22">
        <v>25</v>
      </c>
      <c r="H218" s="48">
        <f t="shared" si="3"/>
        <v>50</v>
      </c>
    </row>
    <row r="219" spans="2:8" x14ac:dyDescent="0.3">
      <c r="B219" s="14">
        <v>46049</v>
      </c>
      <c r="C219" s="14" t="s">
        <v>128</v>
      </c>
      <c r="D219" s="16" t="s">
        <v>8</v>
      </c>
      <c r="E219" s="19" t="s">
        <v>117</v>
      </c>
      <c r="F219" s="22">
        <v>2</v>
      </c>
      <c r="G219" s="22">
        <v>60</v>
      </c>
      <c r="H219" s="48">
        <f t="shared" si="3"/>
        <v>120</v>
      </c>
    </row>
    <row r="220" spans="2:8" x14ac:dyDescent="0.3">
      <c r="B220" s="14">
        <v>46050</v>
      </c>
      <c r="C220" s="14" t="s">
        <v>128</v>
      </c>
      <c r="D220" s="16" t="s">
        <v>8</v>
      </c>
      <c r="E220" s="19" t="s">
        <v>40</v>
      </c>
      <c r="F220" s="22">
        <v>2</v>
      </c>
      <c r="G220" s="22">
        <v>90</v>
      </c>
      <c r="H220" s="48">
        <f t="shared" si="3"/>
        <v>180</v>
      </c>
    </row>
    <row r="221" spans="2:8" x14ac:dyDescent="0.3">
      <c r="B221" s="14">
        <v>46050</v>
      </c>
      <c r="C221" s="14" t="s">
        <v>128</v>
      </c>
      <c r="D221" s="16" t="s">
        <v>10</v>
      </c>
      <c r="E221" s="19" t="s">
        <v>124</v>
      </c>
      <c r="F221" s="22">
        <v>2</v>
      </c>
      <c r="G221" s="22">
        <v>40</v>
      </c>
      <c r="H221" s="48">
        <f t="shared" si="3"/>
        <v>80</v>
      </c>
    </row>
  </sheetData>
  <phoneticPr fontId="10" type="noConversion"/>
  <dataValidations count="1">
    <dataValidation type="whole" operator="greaterThan" allowBlank="1" showInputMessage="1" showErrorMessage="1" sqref="F2:G221 H2:H221" xr:uid="{B4DAAB15-30B1-44B7-A663-AECCF105825D}">
      <formula1>0</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E1675-ADBE-408B-950D-303583462B5A}">
  <dimension ref="A1:E146"/>
  <sheetViews>
    <sheetView workbookViewId="0">
      <selection activeCell="H5" sqref="H5"/>
    </sheetView>
  </sheetViews>
  <sheetFormatPr defaultRowHeight="14.4" x14ac:dyDescent="0.3"/>
  <cols>
    <col min="1" max="1" width="10.33203125" bestFit="1" customWidth="1"/>
    <col min="2" max="2" width="14.33203125" customWidth="1"/>
    <col min="3" max="3" width="22.88671875" customWidth="1"/>
    <col min="4" max="4" width="35.88671875" customWidth="1"/>
    <col min="5" max="5" width="36.109375" customWidth="1"/>
  </cols>
  <sheetData>
    <row r="1" spans="1:5" x14ac:dyDescent="0.3">
      <c r="A1" t="s">
        <v>0</v>
      </c>
      <c r="B1" t="s">
        <v>133</v>
      </c>
      <c r="C1" t="s">
        <v>137</v>
      </c>
      <c r="D1" t="s">
        <v>138</v>
      </c>
      <c r="E1" t="s">
        <v>139</v>
      </c>
    </row>
    <row r="2" spans="1:5" x14ac:dyDescent="0.3">
      <c r="A2" s="66">
        <v>45964</v>
      </c>
      <c r="B2">
        <v>892</v>
      </c>
    </row>
    <row r="3" spans="1:5" x14ac:dyDescent="0.3">
      <c r="A3" s="66">
        <v>45965</v>
      </c>
      <c r="B3">
        <v>1050</v>
      </c>
    </row>
    <row r="4" spans="1:5" x14ac:dyDescent="0.3">
      <c r="A4" s="66">
        <v>45966</v>
      </c>
      <c r="B4">
        <v>1000</v>
      </c>
    </row>
    <row r="5" spans="1:5" x14ac:dyDescent="0.3">
      <c r="A5" s="66">
        <v>45967</v>
      </c>
      <c r="B5">
        <v>678</v>
      </c>
    </row>
    <row r="6" spans="1:5" x14ac:dyDescent="0.3">
      <c r="A6" s="66">
        <v>45968</v>
      </c>
      <c r="B6">
        <v>2190</v>
      </c>
    </row>
    <row r="7" spans="1:5" x14ac:dyDescent="0.3">
      <c r="A7" s="66">
        <v>45969</v>
      </c>
      <c r="B7">
        <v>1880</v>
      </c>
    </row>
    <row r="8" spans="1:5" x14ac:dyDescent="0.3">
      <c r="A8" s="66">
        <v>45970</v>
      </c>
      <c r="B8">
        <v>1570</v>
      </c>
    </row>
    <row r="9" spans="1:5" x14ac:dyDescent="0.3">
      <c r="A9" s="66">
        <v>45971</v>
      </c>
      <c r="B9">
        <v>1260</v>
      </c>
    </row>
    <row r="10" spans="1:5" x14ac:dyDescent="0.3">
      <c r="A10" s="66">
        <v>45972</v>
      </c>
      <c r="B10">
        <v>862</v>
      </c>
    </row>
    <row r="11" spans="1:5" x14ac:dyDescent="0.3">
      <c r="A11" s="66">
        <v>45973</v>
      </c>
      <c r="B11">
        <v>905</v>
      </c>
    </row>
    <row r="12" spans="1:5" x14ac:dyDescent="0.3">
      <c r="A12" s="66">
        <v>45974</v>
      </c>
      <c r="B12">
        <v>2350</v>
      </c>
    </row>
    <row r="13" spans="1:5" x14ac:dyDescent="0.3">
      <c r="A13" s="66">
        <v>45975</v>
      </c>
      <c r="B13">
        <v>955</v>
      </c>
    </row>
    <row r="14" spans="1:5" x14ac:dyDescent="0.3">
      <c r="A14" s="66">
        <v>45976</v>
      </c>
      <c r="B14">
        <v>862</v>
      </c>
    </row>
    <row r="15" spans="1:5" x14ac:dyDescent="0.3">
      <c r="A15" s="66">
        <v>45977</v>
      </c>
      <c r="B15">
        <v>769</v>
      </c>
    </row>
    <row r="16" spans="1:5" x14ac:dyDescent="0.3">
      <c r="A16" s="66">
        <v>45978</v>
      </c>
      <c r="B16">
        <v>676</v>
      </c>
    </row>
    <row r="17" spans="1:2" x14ac:dyDescent="0.3">
      <c r="A17" s="66">
        <v>45979</v>
      </c>
      <c r="B17">
        <v>730</v>
      </c>
    </row>
    <row r="18" spans="1:2" x14ac:dyDescent="0.3">
      <c r="A18" s="66">
        <v>45980</v>
      </c>
      <c r="B18">
        <v>950</v>
      </c>
    </row>
    <row r="19" spans="1:2" x14ac:dyDescent="0.3">
      <c r="A19" s="66">
        <v>45981</v>
      </c>
      <c r="B19">
        <v>2581</v>
      </c>
    </row>
    <row r="20" spans="1:2" x14ac:dyDescent="0.3">
      <c r="A20" s="66">
        <v>45982</v>
      </c>
      <c r="B20">
        <v>1060</v>
      </c>
    </row>
    <row r="21" spans="1:2" x14ac:dyDescent="0.3">
      <c r="A21" s="66">
        <v>45983</v>
      </c>
      <c r="B21">
        <v>920</v>
      </c>
    </row>
    <row r="22" spans="1:2" x14ac:dyDescent="0.3">
      <c r="A22" s="66">
        <v>45984</v>
      </c>
      <c r="B22">
        <v>780</v>
      </c>
    </row>
    <row r="23" spans="1:2" x14ac:dyDescent="0.3">
      <c r="A23" s="66">
        <v>45985</v>
      </c>
      <c r="B23">
        <v>640</v>
      </c>
    </row>
    <row r="24" spans="1:2" x14ac:dyDescent="0.3">
      <c r="A24" s="66">
        <v>45986</v>
      </c>
      <c r="B24">
        <v>590</v>
      </c>
    </row>
    <row r="25" spans="1:2" x14ac:dyDescent="0.3">
      <c r="A25" s="66">
        <v>45987</v>
      </c>
      <c r="B25">
        <v>500</v>
      </c>
    </row>
    <row r="26" spans="1:2" x14ac:dyDescent="0.3">
      <c r="A26" s="66">
        <v>45988</v>
      </c>
      <c r="B26">
        <v>408</v>
      </c>
    </row>
    <row r="27" spans="1:2" x14ac:dyDescent="0.3">
      <c r="A27" s="66">
        <v>45989</v>
      </c>
      <c r="B27">
        <v>1540</v>
      </c>
    </row>
    <row r="28" spans="1:2" x14ac:dyDescent="0.3">
      <c r="A28" s="66">
        <v>45990</v>
      </c>
      <c r="B28">
        <v>1244.6666666666667</v>
      </c>
    </row>
    <row r="29" spans="1:2" x14ac:dyDescent="0.3">
      <c r="A29" s="66">
        <v>45991</v>
      </c>
      <c r="B29">
        <v>949.33333333333337</v>
      </c>
    </row>
    <row r="30" spans="1:2" x14ac:dyDescent="0.3">
      <c r="A30" s="66">
        <v>45992</v>
      </c>
      <c r="B30">
        <v>654</v>
      </c>
    </row>
    <row r="31" spans="1:2" x14ac:dyDescent="0.3">
      <c r="A31" s="66">
        <v>45993</v>
      </c>
      <c r="B31">
        <v>1000</v>
      </c>
    </row>
    <row r="32" spans="1:2" x14ac:dyDescent="0.3">
      <c r="A32" s="66">
        <v>45994</v>
      </c>
      <c r="B32">
        <v>610</v>
      </c>
    </row>
    <row r="33" spans="1:2" x14ac:dyDescent="0.3">
      <c r="A33" s="66">
        <v>45995</v>
      </c>
      <c r="B33">
        <v>1900</v>
      </c>
    </row>
    <row r="34" spans="1:2" x14ac:dyDescent="0.3">
      <c r="A34" s="66">
        <v>45996</v>
      </c>
      <c r="B34">
        <v>720</v>
      </c>
    </row>
    <row r="35" spans="1:2" x14ac:dyDescent="0.3">
      <c r="A35" s="66">
        <v>45997</v>
      </c>
      <c r="B35">
        <v>793.33333333333337</v>
      </c>
    </row>
    <row r="36" spans="1:2" x14ac:dyDescent="0.3">
      <c r="A36" s="66">
        <v>45998</v>
      </c>
      <c r="B36">
        <v>866.66666666666663</v>
      </c>
    </row>
    <row r="37" spans="1:2" x14ac:dyDescent="0.3">
      <c r="A37" s="66">
        <v>45999</v>
      </c>
      <c r="B37">
        <v>940</v>
      </c>
    </row>
    <row r="38" spans="1:2" x14ac:dyDescent="0.3">
      <c r="A38" s="66">
        <v>46000</v>
      </c>
      <c r="B38">
        <v>762</v>
      </c>
    </row>
    <row r="39" spans="1:2" x14ac:dyDescent="0.3">
      <c r="A39" s="66">
        <v>46001</v>
      </c>
      <c r="B39">
        <v>880</v>
      </c>
    </row>
    <row r="40" spans="1:2" x14ac:dyDescent="0.3">
      <c r="A40" s="66">
        <v>46002</v>
      </c>
      <c r="B40">
        <v>1815</v>
      </c>
    </row>
    <row r="41" spans="1:2" x14ac:dyDescent="0.3">
      <c r="A41" s="66">
        <v>46003</v>
      </c>
      <c r="B41">
        <v>740</v>
      </c>
    </row>
    <row r="42" spans="1:2" x14ac:dyDescent="0.3">
      <c r="A42" s="66">
        <v>46004</v>
      </c>
      <c r="B42">
        <v>836.66666666666663</v>
      </c>
    </row>
    <row r="43" spans="1:2" x14ac:dyDescent="0.3">
      <c r="A43" s="66">
        <v>46005</v>
      </c>
      <c r="B43">
        <v>933.33333333333337</v>
      </c>
    </row>
    <row r="44" spans="1:2" x14ac:dyDescent="0.3">
      <c r="A44" s="66">
        <v>46006</v>
      </c>
      <c r="B44">
        <v>1030</v>
      </c>
    </row>
    <row r="45" spans="1:2" x14ac:dyDescent="0.3">
      <c r="A45" s="66">
        <v>46007</v>
      </c>
      <c r="B45">
        <v>760</v>
      </c>
    </row>
    <row r="46" spans="1:2" x14ac:dyDescent="0.3">
      <c r="A46" s="66">
        <v>46008</v>
      </c>
      <c r="B46">
        <v>632</v>
      </c>
    </row>
    <row r="47" spans="1:2" x14ac:dyDescent="0.3">
      <c r="A47" s="66">
        <v>46009</v>
      </c>
      <c r="B47">
        <v>1300</v>
      </c>
    </row>
    <row r="48" spans="1:2" x14ac:dyDescent="0.3">
      <c r="A48" s="66">
        <v>46010</v>
      </c>
      <c r="B48">
        <v>755</v>
      </c>
    </row>
    <row r="49" spans="1:2" x14ac:dyDescent="0.3">
      <c r="A49" s="66">
        <v>46011</v>
      </c>
      <c r="B49">
        <v>762</v>
      </c>
    </row>
    <row r="50" spans="1:2" x14ac:dyDescent="0.3">
      <c r="A50" s="66">
        <v>46012</v>
      </c>
      <c r="B50">
        <v>769</v>
      </c>
    </row>
    <row r="51" spans="1:2" x14ac:dyDescent="0.3">
      <c r="A51" s="66">
        <v>46013</v>
      </c>
      <c r="B51">
        <v>776</v>
      </c>
    </row>
    <row r="52" spans="1:2" x14ac:dyDescent="0.3">
      <c r="A52" s="66">
        <v>46014</v>
      </c>
      <c r="B52">
        <v>980</v>
      </c>
    </row>
    <row r="53" spans="1:2" x14ac:dyDescent="0.3">
      <c r="A53" s="66">
        <v>46015</v>
      </c>
      <c r="B53">
        <v>240</v>
      </c>
    </row>
    <row r="54" spans="1:2" x14ac:dyDescent="0.3">
      <c r="A54" s="66">
        <v>46016</v>
      </c>
      <c r="B54">
        <v>380</v>
      </c>
    </row>
    <row r="55" spans="1:2" x14ac:dyDescent="0.3">
      <c r="A55" s="66">
        <v>46017</v>
      </c>
      <c r="B55">
        <v>520</v>
      </c>
    </row>
    <row r="56" spans="1:2" x14ac:dyDescent="0.3">
      <c r="A56" s="66">
        <v>46018</v>
      </c>
      <c r="B56">
        <v>660</v>
      </c>
    </row>
    <row r="57" spans="1:2" x14ac:dyDescent="0.3">
      <c r="A57" s="66">
        <v>46019</v>
      </c>
      <c r="B57">
        <v>800</v>
      </c>
    </row>
    <row r="58" spans="1:2" x14ac:dyDescent="0.3">
      <c r="A58" s="66">
        <v>46020</v>
      </c>
      <c r="B58">
        <v>940</v>
      </c>
    </row>
    <row r="59" spans="1:2" x14ac:dyDescent="0.3">
      <c r="A59" s="66">
        <v>46021</v>
      </c>
      <c r="B59">
        <v>648</v>
      </c>
    </row>
    <row r="60" spans="1:2" x14ac:dyDescent="0.3">
      <c r="A60" s="66">
        <v>46022</v>
      </c>
      <c r="B60">
        <v>930</v>
      </c>
    </row>
    <row r="61" spans="1:2" x14ac:dyDescent="0.3">
      <c r="A61" s="66">
        <v>46023</v>
      </c>
      <c r="B61">
        <v>947.5</v>
      </c>
    </row>
    <row r="62" spans="1:2" x14ac:dyDescent="0.3">
      <c r="A62" s="66">
        <v>46024</v>
      </c>
      <c r="B62">
        <v>965</v>
      </c>
    </row>
    <row r="63" spans="1:2" x14ac:dyDescent="0.3">
      <c r="A63" s="66">
        <v>46025</v>
      </c>
      <c r="B63">
        <v>933.33333333333337</v>
      </c>
    </row>
    <row r="64" spans="1:2" x14ac:dyDescent="0.3">
      <c r="A64" s="66">
        <v>46026</v>
      </c>
      <c r="B64">
        <v>901.66666666666663</v>
      </c>
    </row>
    <row r="65" spans="1:2" x14ac:dyDescent="0.3">
      <c r="A65" s="66">
        <v>46027</v>
      </c>
      <c r="B65">
        <v>870</v>
      </c>
    </row>
    <row r="66" spans="1:2" x14ac:dyDescent="0.3">
      <c r="A66" s="66">
        <v>46028</v>
      </c>
      <c r="B66">
        <v>820</v>
      </c>
    </row>
    <row r="67" spans="1:2" x14ac:dyDescent="0.3">
      <c r="A67" s="66">
        <v>46029</v>
      </c>
      <c r="B67">
        <v>1530</v>
      </c>
    </row>
    <row r="68" spans="1:2" x14ac:dyDescent="0.3">
      <c r="A68" s="66">
        <v>46030</v>
      </c>
      <c r="B68">
        <v>485</v>
      </c>
    </row>
    <row r="69" spans="1:2" x14ac:dyDescent="0.3">
      <c r="A69" s="66">
        <v>46031</v>
      </c>
      <c r="B69">
        <v>600</v>
      </c>
    </row>
    <row r="70" spans="1:2" x14ac:dyDescent="0.3">
      <c r="A70" s="66">
        <v>46032</v>
      </c>
      <c r="B70">
        <v>670</v>
      </c>
    </row>
    <row r="71" spans="1:2" x14ac:dyDescent="0.3">
      <c r="A71" s="66">
        <v>46033</v>
      </c>
      <c r="B71">
        <v>810</v>
      </c>
    </row>
    <row r="72" spans="1:2" x14ac:dyDescent="0.3">
      <c r="A72" s="66">
        <v>46034</v>
      </c>
      <c r="B72">
        <v>950</v>
      </c>
    </row>
    <row r="73" spans="1:2" x14ac:dyDescent="0.3">
      <c r="A73" s="66">
        <v>46035</v>
      </c>
      <c r="B73">
        <v>672</v>
      </c>
    </row>
    <row r="74" spans="1:2" x14ac:dyDescent="0.3">
      <c r="A74" s="66">
        <v>46036</v>
      </c>
      <c r="B74">
        <v>690</v>
      </c>
    </row>
    <row r="75" spans="1:2" x14ac:dyDescent="0.3">
      <c r="A75" s="66">
        <v>46037</v>
      </c>
      <c r="B75">
        <v>390</v>
      </c>
    </row>
    <row r="76" spans="1:2" x14ac:dyDescent="0.3">
      <c r="A76" s="66">
        <v>46038</v>
      </c>
      <c r="B76">
        <v>407.5</v>
      </c>
    </row>
    <row r="77" spans="1:2" x14ac:dyDescent="0.3">
      <c r="A77" s="66">
        <v>46039</v>
      </c>
      <c r="B77">
        <v>425</v>
      </c>
    </row>
    <row r="78" spans="1:2" x14ac:dyDescent="0.3">
      <c r="A78" s="66">
        <v>46040</v>
      </c>
      <c r="B78">
        <v>442.5</v>
      </c>
    </row>
    <row r="79" spans="1:2" x14ac:dyDescent="0.3">
      <c r="A79" s="66">
        <v>46041</v>
      </c>
      <c r="B79">
        <v>460</v>
      </c>
    </row>
    <row r="80" spans="1:2" x14ac:dyDescent="0.3">
      <c r="A80" s="66">
        <v>46042</v>
      </c>
      <c r="B80">
        <v>322</v>
      </c>
    </row>
    <row r="81" spans="1:5" x14ac:dyDescent="0.3">
      <c r="A81" s="66">
        <v>46043</v>
      </c>
      <c r="B81">
        <v>310</v>
      </c>
    </row>
    <row r="82" spans="1:5" x14ac:dyDescent="0.3">
      <c r="A82" s="66">
        <v>46044</v>
      </c>
      <c r="B82">
        <v>650</v>
      </c>
    </row>
    <row r="83" spans="1:5" x14ac:dyDescent="0.3">
      <c r="A83" s="66">
        <v>46045</v>
      </c>
      <c r="B83">
        <v>180</v>
      </c>
    </row>
    <row r="84" spans="1:5" x14ac:dyDescent="0.3">
      <c r="A84" s="66">
        <v>46046</v>
      </c>
      <c r="B84">
        <v>75</v>
      </c>
    </row>
    <row r="85" spans="1:5" x14ac:dyDescent="0.3">
      <c r="A85" s="66">
        <v>46047</v>
      </c>
      <c r="B85">
        <v>62.5</v>
      </c>
    </row>
    <row r="86" spans="1:5" x14ac:dyDescent="0.3">
      <c r="A86" s="66">
        <v>46048</v>
      </c>
      <c r="B86">
        <v>50</v>
      </c>
    </row>
    <row r="87" spans="1:5" x14ac:dyDescent="0.3">
      <c r="A87" s="66">
        <v>46049</v>
      </c>
      <c r="B87">
        <v>120</v>
      </c>
    </row>
    <row r="88" spans="1:5" x14ac:dyDescent="0.3">
      <c r="A88" s="66">
        <v>46050</v>
      </c>
      <c r="B88">
        <v>260</v>
      </c>
      <c r="C88">
        <v>260</v>
      </c>
      <c r="D88" s="67">
        <v>260</v>
      </c>
      <c r="E88" s="67">
        <v>260</v>
      </c>
    </row>
    <row r="89" spans="1:5" x14ac:dyDescent="0.3">
      <c r="A89" s="66">
        <v>46051</v>
      </c>
      <c r="C89">
        <f t="shared" ref="C89:C120" si="0">_xlfn.FORECAST.ETS(A89,$B$2:$B$88,$A$2:$A$88,1,1)</f>
        <v>303.13277902046582</v>
      </c>
      <c r="D89" s="67">
        <f t="shared" ref="D89:D120" si="1">C89-_xlfn.FORECAST.ETS.CONFINT(A89,$B$2:$B$88,$A$2:$A$88,0.95,1,1)</f>
        <v>-601.93905813954268</v>
      </c>
      <c r="E89" s="67">
        <f t="shared" ref="E89:E120" si="2">C89+_xlfn.FORECAST.ETS.CONFINT(A89,$B$2:$B$88,$A$2:$A$88,0.95,1,1)</f>
        <v>1208.2046161804742</v>
      </c>
    </row>
    <row r="90" spans="1:5" x14ac:dyDescent="0.3">
      <c r="A90" s="66">
        <v>46052</v>
      </c>
      <c r="C90">
        <f t="shared" si="0"/>
        <v>82.299324934242492</v>
      </c>
      <c r="D90" s="67">
        <f t="shared" si="1"/>
        <v>-851.06804725743473</v>
      </c>
      <c r="E90" s="67">
        <f t="shared" si="2"/>
        <v>1015.6666971259197</v>
      </c>
    </row>
    <row r="91" spans="1:5" x14ac:dyDescent="0.3">
      <c r="A91" s="66">
        <v>46053</v>
      </c>
      <c r="C91">
        <f t="shared" si="0"/>
        <v>837.99264018298163</v>
      </c>
      <c r="D91" s="67">
        <f t="shared" si="1"/>
        <v>-123.0525959085162</v>
      </c>
      <c r="E91" s="67">
        <f t="shared" si="2"/>
        <v>1799.0378762744795</v>
      </c>
    </row>
    <row r="92" spans="1:5" x14ac:dyDescent="0.3">
      <c r="A92" s="66">
        <v>46054</v>
      </c>
      <c r="C92">
        <f t="shared" si="0"/>
        <v>132.86628677051613</v>
      </c>
      <c r="D92" s="67">
        <f t="shared" si="1"/>
        <v>-855.29187453603913</v>
      </c>
      <c r="E92" s="67">
        <f t="shared" si="2"/>
        <v>1121.0244480770714</v>
      </c>
    </row>
    <row r="93" spans="1:5" x14ac:dyDescent="0.3">
      <c r="A93" s="66">
        <v>46055</v>
      </c>
      <c r="C93">
        <f t="shared" si="0"/>
        <v>354.1704724822514</v>
      </c>
      <c r="D93" s="67">
        <f t="shared" si="1"/>
        <v>-660.58176703724098</v>
      </c>
      <c r="E93" s="67">
        <f t="shared" si="2"/>
        <v>1368.9227120017438</v>
      </c>
    </row>
    <row r="94" spans="1:5" x14ac:dyDescent="0.3">
      <c r="A94" s="66">
        <v>46056</v>
      </c>
      <c r="C94">
        <f t="shared" si="0"/>
        <v>315.14776134942667</v>
      </c>
      <c r="D94" s="67">
        <f t="shared" si="1"/>
        <v>-725.72026663656288</v>
      </c>
      <c r="E94" s="67">
        <f t="shared" si="2"/>
        <v>1356.0157893354162</v>
      </c>
    </row>
    <row r="95" spans="1:5" x14ac:dyDescent="0.3">
      <c r="A95" s="66">
        <v>46057</v>
      </c>
      <c r="C95">
        <f t="shared" si="0"/>
        <v>281.9931947259077</v>
      </c>
      <c r="D95" s="67">
        <f t="shared" si="1"/>
        <v>-784.54823545281079</v>
      </c>
      <c r="E95" s="67">
        <f t="shared" si="2"/>
        <v>1348.5346249046261</v>
      </c>
    </row>
    <row r="96" spans="1:5" x14ac:dyDescent="0.3">
      <c r="A96" s="66">
        <v>46058</v>
      </c>
      <c r="C96">
        <f t="shared" si="0"/>
        <v>295.70571582225028</v>
      </c>
      <c r="D96" s="67">
        <f t="shared" si="1"/>
        <v>-796.09868869925367</v>
      </c>
      <c r="E96" s="67">
        <f t="shared" si="2"/>
        <v>1387.5101203437544</v>
      </c>
    </row>
    <row r="97" spans="1:5" x14ac:dyDescent="0.3">
      <c r="A97" s="66">
        <v>46059</v>
      </c>
      <c r="C97">
        <f t="shared" si="0"/>
        <v>-13.581539638068648</v>
      </c>
      <c r="D97" s="67">
        <f t="shared" si="1"/>
        <v>-1130.2670801230224</v>
      </c>
      <c r="E97" s="67">
        <f t="shared" si="2"/>
        <v>1103.1040008468849</v>
      </c>
    </row>
    <row r="98" spans="1:5" x14ac:dyDescent="0.3">
      <c r="A98" s="66">
        <v>46060</v>
      </c>
      <c r="C98">
        <f t="shared" si="0"/>
        <v>621.05443279810856</v>
      </c>
      <c r="D98" s="67">
        <f t="shared" si="1"/>
        <v>-520.15609834177644</v>
      </c>
      <c r="E98" s="67">
        <f t="shared" si="2"/>
        <v>1762.2649639379936</v>
      </c>
    </row>
    <row r="99" spans="1:5" x14ac:dyDescent="0.3">
      <c r="A99" s="66">
        <v>46061</v>
      </c>
      <c r="C99">
        <f t="shared" si="0"/>
        <v>281.25122117935427</v>
      </c>
      <c r="D99" s="67">
        <f t="shared" si="1"/>
        <v>-884.15134283525765</v>
      </c>
      <c r="E99" s="67">
        <f t="shared" si="2"/>
        <v>1446.6537851939661</v>
      </c>
    </row>
    <row r="100" spans="1:5" x14ac:dyDescent="0.3">
      <c r="A100" s="66">
        <v>46062</v>
      </c>
      <c r="C100">
        <f t="shared" si="0"/>
        <v>155.74134909412933</v>
      </c>
      <c r="D100" s="67">
        <f t="shared" si="1"/>
        <v>-1033.5412977648903</v>
      </c>
      <c r="E100" s="67">
        <f t="shared" si="2"/>
        <v>1345.0239959531491</v>
      </c>
    </row>
    <row r="101" spans="1:5" x14ac:dyDescent="0.3">
      <c r="A101" s="66">
        <v>46063</v>
      </c>
      <c r="C101">
        <f t="shared" si="0"/>
        <v>226.34398087112413</v>
      </c>
      <c r="D101" s="67">
        <f t="shared" si="1"/>
        <v>-986.52590020397702</v>
      </c>
      <c r="E101" s="67">
        <f t="shared" si="2"/>
        <v>1439.2138619462253</v>
      </c>
    </row>
    <row r="102" spans="1:5" x14ac:dyDescent="0.3">
      <c r="A102" s="66">
        <v>46064</v>
      </c>
      <c r="C102">
        <f t="shared" si="0"/>
        <v>86.134257962214562</v>
      </c>
      <c r="D102" s="67">
        <f t="shared" si="1"/>
        <v>-1150.0474347590844</v>
      </c>
      <c r="E102" s="67">
        <f t="shared" si="2"/>
        <v>1322.3159506835136</v>
      </c>
    </row>
    <row r="103" spans="1:5" x14ac:dyDescent="0.3">
      <c r="A103" s="66">
        <v>46065</v>
      </c>
      <c r="C103">
        <f t="shared" si="0"/>
        <v>-55.611538776558518</v>
      </c>
      <c r="D103" s="67">
        <f t="shared" si="1"/>
        <v>-1314.8455676332098</v>
      </c>
      <c r="E103" s="67">
        <f t="shared" si="2"/>
        <v>1203.6224900800928</v>
      </c>
    </row>
    <row r="104" spans="1:5" x14ac:dyDescent="0.3">
      <c r="A104" s="66">
        <v>46066</v>
      </c>
      <c r="C104">
        <f t="shared" si="0"/>
        <v>-179.3881313976425</v>
      </c>
      <c r="D104" s="67">
        <f t="shared" si="1"/>
        <v>-1461.4296567637148</v>
      </c>
      <c r="E104" s="67">
        <f t="shared" si="2"/>
        <v>1102.6533939684296</v>
      </c>
    </row>
    <row r="105" spans="1:5" x14ac:dyDescent="0.3">
      <c r="A105" s="66">
        <v>46067</v>
      </c>
      <c r="C105">
        <f t="shared" si="0"/>
        <v>178.03040538361381</v>
      </c>
      <c r="D105" s="67">
        <f t="shared" si="1"/>
        <v>-1126.5872457795881</v>
      </c>
      <c r="E105" s="67">
        <f t="shared" si="2"/>
        <v>1482.648056546816</v>
      </c>
    </row>
    <row r="106" spans="1:5" x14ac:dyDescent="0.3">
      <c r="A106" s="66">
        <v>46068</v>
      </c>
      <c r="C106">
        <f t="shared" si="0"/>
        <v>565.41107886783766</v>
      </c>
      <c r="D106" s="67">
        <f t="shared" si="1"/>
        <v>-761.56375383679574</v>
      </c>
      <c r="E106" s="67">
        <f t="shared" si="2"/>
        <v>1892.3859115724711</v>
      </c>
    </row>
    <row r="107" spans="1:5" x14ac:dyDescent="0.3">
      <c r="A107" s="66">
        <v>46069</v>
      </c>
      <c r="C107">
        <f t="shared" si="0"/>
        <v>112.33049636294292</v>
      </c>
      <c r="D107" s="67">
        <f t="shared" si="1"/>
        <v>-1236.7940656355872</v>
      </c>
      <c r="E107" s="67">
        <f t="shared" si="2"/>
        <v>1461.4550583614732</v>
      </c>
    </row>
    <row r="108" spans="1:5" x14ac:dyDescent="0.3">
      <c r="A108" s="66">
        <v>46070</v>
      </c>
      <c r="C108">
        <f t="shared" si="0"/>
        <v>61.328976646616724</v>
      </c>
      <c r="D108" s="67">
        <f t="shared" si="1"/>
        <v>-1309.7485140538026</v>
      </c>
      <c r="E108" s="67">
        <f t="shared" si="2"/>
        <v>1432.4064673470359</v>
      </c>
    </row>
    <row r="109" spans="1:5" x14ac:dyDescent="0.3">
      <c r="A109" s="66">
        <v>46071</v>
      </c>
      <c r="C109">
        <f t="shared" si="0"/>
        <v>-33.234377668358277</v>
      </c>
      <c r="D109" s="67">
        <f t="shared" si="1"/>
        <v>-1426.0778900897815</v>
      </c>
      <c r="E109" s="67">
        <f t="shared" si="2"/>
        <v>1359.6091347530648</v>
      </c>
    </row>
    <row r="110" spans="1:5" x14ac:dyDescent="0.3">
      <c r="A110" s="66">
        <v>46072</v>
      </c>
      <c r="C110">
        <f t="shared" si="0"/>
        <v>-14.89242791869448</v>
      </c>
      <c r="D110" s="67">
        <f t="shared" si="1"/>
        <v>-1429.3242629199626</v>
      </c>
      <c r="E110" s="67">
        <f t="shared" si="2"/>
        <v>1399.5394070825737</v>
      </c>
    </row>
    <row r="111" spans="1:5" x14ac:dyDescent="0.3">
      <c r="A111" s="66">
        <v>46073</v>
      </c>
      <c r="C111">
        <f t="shared" si="0"/>
        <v>-248.57697836338579</v>
      </c>
      <c r="D111" s="67">
        <f t="shared" si="1"/>
        <v>-1684.4280225623447</v>
      </c>
      <c r="E111" s="67">
        <f t="shared" si="2"/>
        <v>1187.2740658355733</v>
      </c>
    </row>
    <row r="112" spans="1:5" x14ac:dyDescent="0.3">
      <c r="A112" s="66">
        <v>46074</v>
      </c>
      <c r="C112">
        <f t="shared" si="0"/>
        <v>-382.76667219308069</v>
      </c>
      <c r="D112" s="67">
        <f t="shared" si="1"/>
        <v>-1839.8758322051463</v>
      </c>
      <c r="E112" s="67">
        <f t="shared" si="2"/>
        <v>1074.3424878189849</v>
      </c>
    </row>
    <row r="113" spans="1:5" x14ac:dyDescent="0.3">
      <c r="A113" s="66">
        <v>46075</v>
      </c>
      <c r="C113">
        <f t="shared" si="0"/>
        <v>-389.93379040054288</v>
      </c>
      <c r="D113" s="67">
        <f t="shared" si="1"/>
        <v>-1868.1474770394518</v>
      </c>
      <c r="E113" s="67">
        <f t="shared" si="2"/>
        <v>1088.2798962383661</v>
      </c>
    </row>
    <row r="114" spans="1:5" x14ac:dyDescent="0.3">
      <c r="A114" s="66">
        <v>46076</v>
      </c>
      <c r="C114">
        <f t="shared" si="0"/>
        <v>62.795958634832786</v>
      </c>
      <c r="D114" s="67">
        <f t="shared" si="1"/>
        <v>-1436.3756983023852</v>
      </c>
      <c r="E114" s="67">
        <f t="shared" si="2"/>
        <v>1561.9676155720506</v>
      </c>
    </row>
    <row r="115" spans="1:5" x14ac:dyDescent="0.3">
      <c r="A115" s="66">
        <v>46077</v>
      </c>
      <c r="C115">
        <f t="shared" si="0"/>
        <v>63.374188855815746</v>
      </c>
      <c r="D115" s="67">
        <f t="shared" si="1"/>
        <v>-1456.6154832449504</v>
      </c>
      <c r="E115" s="67">
        <f t="shared" si="2"/>
        <v>1583.3638609565817</v>
      </c>
    </row>
    <row r="116" spans="1:5" x14ac:dyDescent="0.3">
      <c r="A116" s="66">
        <v>46078</v>
      </c>
      <c r="C116">
        <f t="shared" si="0"/>
        <v>63.822975619851789</v>
      </c>
      <c r="D116" s="67">
        <f t="shared" si="1"/>
        <v>-1476.8509615466041</v>
      </c>
      <c r="E116" s="67">
        <f t="shared" si="2"/>
        <v>1604.4969127863078</v>
      </c>
    </row>
    <row r="117" spans="1:5" x14ac:dyDescent="0.3">
      <c r="A117" s="66">
        <v>46079</v>
      </c>
      <c r="C117">
        <f t="shared" si="0"/>
        <v>-174.5139665480184</v>
      </c>
      <c r="D117" s="67">
        <f t="shared" si="1"/>
        <v>-1735.7442594218555</v>
      </c>
      <c r="E117" s="67">
        <f t="shared" si="2"/>
        <v>1386.7163263258185</v>
      </c>
    </row>
    <row r="118" spans="1:5" x14ac:dyDescent="0.3">
      <c r="A118" s="66">
        <v>46080</v>
      </c>
      <c r="C118">
        <f t="shared" si="0"/>
        <v>46.523116818182231</v>
      </c>
      <c r="D118" s="67">
        <f t="shared" si="1"/>
        <v>-1586.737632551605</v>
      </c>
      <c r="E118" s="67">
        <f t="shared" si="2"/>
        <v>1679.7838661879694</v>
      </c>
    </row>
    <row r="119" spans="1:5" x14ac:dyDescent="0.3">
      <c r="A119" s="66">
        <v>46081</v>
      </c>
      <c r="C119">
        <f t="shared" si="0"/>
        <v>-174.31033726804108</v>
      </c>
      <c r="D119" s="67">
        <f t="shared" si="1"/>
        <v>-1827.2537651532691</v>
      </c>
      <c r="E119" s="67">
        <f t="shared" si="2"/>
        <v>1478.6330906171868</v>
      </c>
    </row>
    <row r="120" spans="1:5" x14ac:dyDescent="0.3">
      <c r="A120" s="66">
        <v>46082</v>
      </c>
      <c r="C120">
        <f t="shared" si="0"/>
        <v>581.38297798069812</v>
      </c>
      <c r="D120" s="67">
        <f t="shared" si="1"/>
        <v>-1091.1493716102159</v>
      </c>
      <c r="E120" s="67">
        <f t="shared" si="2"/>
        <v>2253.9153275716121</v>
      </c>
    </row>
    <row r="121" spans="1:5" x14ac:dyDescent="0.3">
      <c r="A121" s="66">
        <v>46083</v>
      </c>
      <c r="C121">
        <f t="shared" ref="C121:C146" si="3">_xlfn.FORECAST.ETS(A121,$B$2:$B$88,$A$2:$A$88,1,1)</f>
        <v>-123.74337543176746</v>
      </c>
      <c r="D121" s="67">
        <f t="shared" ref="D121:D146" si="4">C121-_xlfn.FORECAST.ETS.CONFINT(A121,$B$2:$B$88,$A$2:$A$88,0.95,1,1)</f>
        <v>-1815.7746303616007</v>
      </c>
      <c r="E121" s="67">
        <f t="shared" ref="E121:E146" si="5">C121+_xlfn.FORECAST.ETS.CONFINT(A121,$B$2:$B$88,$A$2:$A$88,0.95,1,1)</f>
        <v>1568.2878794980659</v>
      </c>
    </row>
    <row r="122" spans="1:5" x14ac:dyDescent="0.3">
      <c r="A122" s="66">
        <v>46084</v>
      </c>
      <c r="C122">
        <f t="shared" si="3"/>
        <v>97.560810279967825</v>
      </c>
      <c r="D122" s="67">
        <f t="shared" si="4"/>
        <v>-1613.8828889964639</v>
      </c>
      <c r="E122" s="67">
        <f t="shared" si="5"/>
        <v>1809.0045095563996</v>
      </c>
    </row>
    <row r="123" spans="1:5" x14ac:dyDescent="0.3">
      <c r="A123" s="66">
        <v>46085</v>
      </c>
      <c r="C123">
        <f t="shared" si="3"/>
        <v>58.538099147143114</v>
      </c>
      <c r="D123" s="67">
        <f t="shared" si="4"/>
        <v>-1672.2349660289005</v>
      </c>
      <c r="E123" s="67">
        <f t="shared" si="5"/>
        <v>1789.3111643231869</v>
      </c>
    </row>
    <row r="124" spans="1:5" x14ac:dyDescent="0.3">
      <c r="A124" s="66">
        <v>46086</v>
      </c>
      <c r="C124">
        <f t="shared" si="3"/>
        <v>25.383532523624169</v>
      </c>
      <c r="D124" s="67">
        <f t="shared" si="4"/>
        <v>-1724.6390410471076</v>
      </c>
      <c r="E124" s="67">
        <f t="shared" si="5"/>
        <v>1775.4061060943559</v>
      </c>
    </row>
    <row r="125" spans="1:5" x14ac:dyDescent="0.3">
      <c r="A125" s="66">
        <v>46087</v>
      </c>
      <c r="C125">
        <f t="shared" si="3"/>
        <v>39.096053619966696</v>
      </c>
      <c r="D125" s="67">
        <f t="shared" si="4"/>
        <v>-1730.0992404919662</v>
      </c>
      <c r="E125" s="67">
        <f t="shared" si="5"/>
        <v>1808.2913477318994</v>
      </c>
    </row>
    <row r="126" spans="1:5" x14ac:dyDescent="0.3">
      <c r="A126" s="66">
        <v>46088</v>
      </c>
      <c r="C126">
        <f t="shared" si="3"/>
        <v>-270.19120184035228</v>
      </c>
      <c r="D126" s="67">
        <f t="shared" si="4"/>
        <v>-2058.4853564891282</v>
      </c>
      <c r="E126" s="67">
        <f t="shared" si="5"/>
        <v>1518.1029528084237</v>
      </c>
    </row>
    <row r="127" spans="1:5" x14ac:dyDescent="0.3">
      <c r="A127" s="66">
        <v>46089</v>
      </c>
      <c r="C127">
        <f t="shared" si="3"/>
        <v>364.44477059582493</v>
      </c>
      <c r="D127" s="67">
        <f t="shared" si="4"/>
        <v>-1442.8771793750998</v>
      </c>
      <c r="E127" s="67">
        <f t="shared" si="5"/>
        <v>2171.7667205667499</v>
      </c>
    </row>
    <row r="128" spans="1:5" x14ac:dyDescent="0.3">
      <c r="A128" s="66">
        <v>46090</v>
      </c>
      <c r="C128">
        <f t="shared" si="3"/>
        <v>24.641558977070716</v>
      </c>
      <c r="D128" s="67">
        <f t="shared" si="4"/>
        <v>-1801.6397908989675</v>
      </c>
      <c r="E128" s="67">
        <f t="shared" si="5"/>
        <v>1850.9229088531088</v>
      </c>
    </row>
    <row r="129" spans="1:5" x14ac:dyDescent="0.3">
      <c r="A129" s="66">
        <v>46091</v>
      </c>
      <c r="C129">
        <f t="shared" si="3"/>
        <v>-100.86831310815425</v>
      </c>
      <c r="D129" s="67">
        <f t="shared" si="4"/>
        <v>-1946.043219732471</v>
      </c>
      <c r="E129" s="67">
        <f t="shared" si="5"/>
        <v>1744.3065935161624</v>
      </c>
    </row>
    <row r="130" spans="1:5" x14ac:dyDescent="0.3">
      <c r="A130" s="66">
        <v>46092</v>
      </c>
      <c r="C130">
        <f t="shared" si="3"/>
        <v>-30.265681331159456</v>
      </c>
      <c r="D130" s="67">
        <f t="shared" si="4"/>
        <v>-1894.2707431670447</v>
      </c>
      <c r="E130" s="67">
        <f t="shared" si="5"/>
        <v>1833.7393805047259</v>
      </c>
    </row>
    <row r="131" spans="1:5" x14ac:dyDescent="0.3">
      <c r="A131" s="66">
        <v>46093</v>
      </c>
      <c r="C131">
        <f t="shared" si="3"/>
        <v>-170.475404240069</v>
      </c>
      <c r="D131" s="67">
        <f t="shared" si="4"/>
        <v>-2053.2495571209574</v>
      </c>
      <c r="E131" s="67">
        <f t="shared" si="5"/>
        <v>1712.2987486408192</v>
      </c>
    </row>
    <row r="132" spans="1:5" x14ac:dyDescent="0.3">
      <c r="A132" s="66">
        <v>46094</v>
      </c>
      <c r="C132">
        <f t="shared" si="3"/>
        <v>-312.22120097884215</v>
      </c>
      <c r="D132" s="67">
        <f t="shared" si="4"/>
        <v>-2213.7056197858292</v>
      </c>
      <c r="E132" s="67">
        <f t="shared" si="5"/>
        <v>1589.2632178281451</v>
      </c>
    </row>
    <row r="133" spans="1:5" x14ac:dyDescent="0.3">
      <c r="A133" s="66">
        <v>46095</v>
      </c>
      <c r="C133">
        <f t="shared" si="3"/>
        <v>-435.99779359992607</v>
      </c>
      <c r="D133" s="67">
        <f t="shared" si="4"/>
        <v>-2356.1357994443142</v>
      </c>
      <c r="E133" s="67">
        <f t="shared" si="5"/>
        <v>1484.140212244462</v>
      </c>
    </row>
    <row r="134" spans="1:5" x14ac:dyDescent="0.3">
      <c r="A134" s="66">
        <v>46096</v>
      </c>
      <c r="C134">
        <f t="shared" si="3"/>
        <v>-78.579256818669776</v>
      </c>
      <c r="D134" s="67">
        <f t="shared" si="4"/>
        <v>-2017.3162293431428</v>
      </c>
      <c r="E134" s="67">
        <f t="shared" si="5"/>
        <v>1860.1577157058032</v>
      </c>
    </row>
    <row r="135" spans="1:5" x14ac:dyDescent="0.3">
      <c r="A135" s="66">
        <v>46097</v>
      </c>
      <c r="C135">
        <f t="shared" si="3"/>
        <v>308.80141666555409</v>
      </c>
      <c r="D135" s="67">
        <f t="shared" si="4"/>
        <v>-1648.4818777789915</v>
      </c>
      <c r="E135" s="67">
        <f t="shared" si="5"/>
        <v>2266.0847111100998</v>
      </c>
    </row>
    <row r="136" spans="1:5" x14ac:dyDescent="0.3">
      <c r="A136" s="66">
        <v>46098</v>
      </c>
      <c r="C136">
        <f t="shared" si="3"/>
        <v>-144.27916583934066</v>
      </c>
      <c r="D136" s="67">
        <f t="shared" si="4"/>
        <v>-2120.0580345473568</v>
      </c>
      <c r="E136" s="67">
        <f t="shared" si="5"/>
        <v>1831.4997028686755</v>
      </c>
    </row>
    <row r="137" spans="1:5" x14ac:dyDescent="0.3">
      <c r="A137" s="66">
        <v>46099</v>
      </c>
      <c r="C137">
        <f t="shared" si="3"/>
        <v>-195.28068555566688</v>
      </c>
      <c r="D137" s="67">
        <f t="shared" si="4"/>
        <v>-2189.506203622198</v>
      </c>
      <c r="E137" s="67">
        <f t="shared" si="5"/>
        <v>1798.9448325108642</v>
      </c>
    </row>
    <row r="138" spans="1:5" x14ac:dyDescent="0.3">
      <c r="A138" s="66">
        <v>46100</v>
      </c>
      <c r="C138">
        <f t="shared" si="3"/>
        <v>-289.84403987064184</v>
      </c>
      <c r="D138" s="67">
        <f t="shared" si="4"/>
        <v>-2302.4690346586781</v>
      </c>
      <c r="E138" s="67">
        <f t="shared" si="5"/>
        <v>1722.7809549173944</v>
      </c>
    </row>
    <row r="139" spans="1:5" x14ac:dyDescent="0.3">
      <c r="A139" s="66">
        <v>46101</v>
      </c>
      <c r="C139">
        <f t="shared" si="3"/>
        <v>-271.50209012097804</v>
      </c>
      <c r="D139" s="67">
        <f t="shared" si="4"/>
        <v>-2302.4810743934991</v>
      </c>
      <c r="E139" s="67">
        <f t="shared" si="5"/>
        <v>1759.4768941515429</v>
      </c>
    </row>
    <row r="140" spans="1:5" x14ac:dyDescent="0.3">
      <c r="A140" s="66">
        <v>46102</v>
      </c>
      <c r="C140">
        <f t="shared" si="3"/>
        <v>-505.18664056566934</v>
      </c>
      <c r="D140" s="67">
        <f t="shared" si="4"/>
        <v>-2554.4757490008569</v>
      </c>
      <c r="E140" s="67">
        <f t="shared" si="5"/>
        <v>1544.1024678695185</v>
      </c>
    </row>
    <row r="141" spans="1:5" x14ac:dyDescent="0.3">
      <c r="A141" s="66">
        <v>46103</v>
      </c>
      <c r="C141">
        <f t="shared" si="3"/>
        <v>-639.37633439536421</v>
      </c>
      <c r="D141" s="67">
        <f t="shared" si="4"/>
        <v>-2706.9332632703426</v>
      </c>
      <c r="E141" s="67">
        <f t="shared" si="5"/>
        <v>1428.1805944796142</v>
      </c>
    </row>
    <row r="142" spans="1:5" x14ac:dyDescent="0.3">
      <c r="A142" s="66">
        <v>46104</v>
      </c>
      <c r="C142">
        <f t="shared" si="3"/>
        <v>-646.54345260282639</v>
      </c>
      <c r="D142" s="67">
        <f t="shared" si="4"/>
        <v>-2732.3274024476432</v>
      </c>
      <c r="E142" s="67">
        <f t="shared" si="5"/>
        <v>1439.2404972419906</v>
      </c>
    </row>
    <row r="143" spans="1:5" x14ac:dyDescent="0.3">
      <c r="A143" s="66">
        <v>46105</v>
      </c>
      <c r="C143">
        <f t="shared" si="3"/>
        <v>-193.81370356745077</v>
      </c>
      <c r="D143" s="67">
        <f t="shared" si="4"/>
        <v>-2297.7853246058821</v>
      </c>
      <c r="E143" s="67">
        <f t="shared" si="5"/>
        <v>1910.1579174709805</v>
      </c>
    </row>
    <row r="144" spans="1:5" x14ac:dyDescent="0.3">
      <c r="A144" s="66">
        <v>46106</v>
      </c>
      <c r="C144">
        <f t="shared" si="3"/>
        <v>-193.23547334646781</v>
      </c>
      <c r="D144" s="67">
        <f t="shared" si="4"/>
        <v>-2315.3568135538339</v>
      </c>
      <c r="E144" s="67">
        <f t="shared" si="5"/>
        <v>1928.8858668608984</v>
      </c>
    </row>
    <row r="145" spans="1:5" x14ac:dyDescent="0.3">
      <c r="A145" s="66">
        <v>46107</v>
      </c>
      <c r="C145">
        <f t="shared" si="3"/>
        <v>-192.7866865824318</v>
      </c>
      <c r="D145" s="67">
        <f t="shared" si="4"/>
        <v>-2333.0211422030261</v>
      </c>
      <c r="E145" s="67">
        <f t="shared" si="5"/>
        <v>1947.4477690381627</v>
      </c>
    </row>
    <row r="146" spans="1:5" x14ac:dyDescent="0.3">
      <c r="A146" s="66">
        <v>46108</v>
      </c>
      <c r="C146">
        <f t="shared" si="3"/>
        <v>-431.12362875030198</v>
      </c>
      <c r="D146" s="67">
        <f t="shared" si="4"/>
        <v>-2589.4358971283887</v>
      </c>
      <c r="E146" s="67">
        <f t="shared" si="5"/>
        <v>1727.1886396277846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DF034-B4E3-4352-BFA9-92CD44AC592B}">
  <sheetPr>
    <tabColor theme="5" tint="0.39997558519241921"/>
  </sheetPr>
  <dimension ref="B1:O74"/>
  <sheetViews>
    <sheetView workbookViewId="0">
      <selection activeCell="V14" sqref="V14"/>
    </sheetView>
  </sheetViews>
  <sheetFormatPr defaultRowHeight="14.4" x14ac:dyDescent="0.3"/>
  <cols>
    <col min="2" max="2" width="16.5546875" customWidth="1"/>
    <col min="3" max="3" width="15.21875" customWidth="1"/>
    <col min="4" max="4" width="10.109375" customWidth="1"/>
    <col min="5" max="5" width="13.21875" customWidth="1"/>
    <col min="6" max="6" width="15.5546875" customWidth="1"/>
    <col min="8" max="8" width="23.5546875" customWidth="1"/>
    <col min="9" max="9" width="18.33203125" customWidth="1"/>
    <col min="10" max="10" width="13.21875" customWidth="1"/>
    <col min="11" max="11" width="19.109375" bestFit="1" customWidth="1"/>
    <col min="12" max="12" width="12.44140625" customWidth="1"/>
    <col min="14" max="14" width="13.77734375" customWidth="1"/>
    <col min="15" max="15" width="14.44140625" customWidth="1"/>
    <col min="16" max="16" width="12.21875" customWidth="1"/>
  </cols>
  <sheetData>
    <row r="1" spans="2:15" ht="15" thickBot="1" x14ac:dyDescent="0.35"/>
    <row r="2" spans="2:15" ht="15" thickBot="1" x14ac:dyDescent="0.35">
      <c r="B2" s="39" t="s">
        <v>125</v>
      </c>
      <c r="C2" s="40" t="s">
        <v>133</v>
      </c>
      <c r="E2" s="39" t="s">
        <v>1</v>
      </c>
      <c r="F2" s="40" t="s">
        <v>133</v>
      </c>
      <c r="H2" s="39" t="s">
        <v>135</v>
      </c>
      <c r="I2" s="40" t="s">
        <v>136</v>
      </c>
      <c r="K2" s="39" t="s">
        <v>135</v>
      </c>
      <c r="L2" s="40" t="s">
        <v>133</v>
      </c>
      <c r="N2" s="23" t="s">
        <v>0</v>
      </c>
      <c r="O2" s="24" t="s">
        <v>133</v>
      </c>
    </row>
    <row r="3" spans="2:15" x14ac:dyDescent="0.3">
      <c r="B3" s="35" t="s">
        <v>128</v>
      </c>
      <c r="C3" s="43">
        <v>11069</v>
      </c>
      <c r="E3" s="35" t="s">
        <v>8</v>
      </c>
      <c r="F3" s="43">
        <v>31690</v>
      </c>
      <c r="H3" s="35" t="s">
        <v>94</v>
      </c>
      <c r="I3" s="43">
        <v>5</v>
      </c>
      <c r="K3" s="35" t="s">
        <v>94</v>
      </c>
      <c r="L3" s="43">
        <v>150</v>
      </c>
      <c r="N3" s="33">
        <v>45964</v>
      </c>
      <c r="O3" s="73">
        <v>892</v>
      </c>
    </row>
    <row r="4" spans="2:15" x14ac:dyDescent="0.3">
      <c r="B4" s="36" t="s">
        <v>126</v>
      </c>
      <c r="C4" s="44">
        <v>21817</v>
      </c>
      <c r="E4" s="36" t="s">
        <v>6</v>
      </c>
      <c r="F4" s="44">
        <v>12354</v>
      </c>
      <c r="H4" s="36" t="s">
        <v>103</v>
      </c>
      <c r="I4" s="44">
        <v>271</v>
      </c>
      <c r="K4" s="36" t="s">
        <v>103</v>
      </c>
      <c r="L4" s="44">
        <v>5480</v>
      </c>
      <c r="N4" s="33">
        <v>45965</v>
      </c>
      <c r="O4" s="73">
        <v>1050</v>
      </c>
    </row>
    <row r="5" spans="2:15" ht="15" thickBot="1" x14ac:dyDescent="0.35">
      <c r="B5" s="37" t="s">
        <v>127</v>
      </c>
      <c r="C5" s="44">
        <v>19012</v>
      </c>
      <c r="E5" s="37" t="s">
        <v>10</v>
      </c>
      <c r="F5" s="44">
        <v>7854</v>
      </c>
      <c r="H5" s="36" t="s">
        <v>124</v>
      </c>
      <c r="I5" s="44">
        <v>2</v>
      </c>
      <c r="K5" s="36" t="s">
        <v>124</v>
      </c>
      <c r="L5" s="44">
        <v>80</v>
      </c>
      <c r="N5" s="33">
        <v>45966</v>
      </c>
      <c r="O5" s="73">
        <v>1000</v>
      </c>
    </row>
    <row r="6" spans="2:15" ht="15" thickBot="1" x14ac:dyDescent="0.35">
      <c r="B6" s="38" t="s">
        <v>129</v>
      </c>
      <c r="C6" s="45">
        <v>51898</v>
      </c>
      <c r="E6" s="38" t="s">
        <v>129</v>
      </c>
      <c r="F6" s="45">
        <v>51898</v>
      </c>
      <c r="H6" s="36" t="s">
        <v>47</v>
      </c>
      <c r="I6" s="44">
        <v>58</v>
      </c>
      <c r="K6" s="36" t="s">
        <v>47</v>
      </c>
      <c r="L6" s="44">
        <v>11450</v>
      </c>
      <c r="N6" s="33">
        <v>45967</v>
      </c>
      <c r="O6" s="73">
        <v>678</v>
      </c>
    </row>
    <row r="7" spans="2:15" x14ac:dyDescent="0.3">
      <c r="H7" s="36" t="s">
        <v>117</v>
      </c>
      <c r="I7" s="44">
        <v>3</v>
      </c>
      <c r="K7" s="36" t="s">
        <v>117</v>
      </c>
      <c r="L7" s="44">
        <v>170</v>
      </c>
      <c r="N7" s="33">
        <v>45968</v>
      </c>
      <c r="O7" s="73">
        <v>2190</v>
      </c>
    </row>
    <row r="8" spans="2:15" ht="15" thickBot="1" x14ac:dyDescent="0.35">
      <c r="H8" s="36" t="s">
        <v>109</v>
      </c>
      <c r="I8" s="44">
        <v>167</v>
      </c>
      <c r="K8" s="36" t="s">
        <v>109</v>
      </c>
      <c r="L8" s="44">
        <v>3340</v>
      </c>
      <c r="N8" s="33">
        <v>45971</v>
      </c>
      <c r="O8" s="73">
        <v>1260</v>
      </c>
    </row>
    <row r="9" spans="2:15" ht="15" thickBot="1" x14ac:dyDescent="0.35">
      <c r="B9" s="46" t="s">
        <v>125</v>
      </c>
      <c r="C9" s="47" t="s">
        <v>134</v>
      </c>
      <c r="H9" s="36" t="s">
        <v>122</v>
      </c>
      <c r="I9" s="44">
        <v>6</v>
      </c>
      <c r="K9" s="36" t="s">
        <v>122</v>
      </c>
      <c r="L9" s="44">
        <v>180</v>
      </c>
      <c r="N9" s="33">
        <v>45972</v>
      </c>
      <c r="O9" s="73">
        <v>862</v>
      </c>
    </row>
    <row r="10" spans="2:15" x14ac:dyDescent="0.3">
      <c r="B10" s="35" t="s">
        <v>128</v>
      </c>
      <c r="C10" s="62">
        <v>0.21328374889205751</v>
      </c>
      <c r="H10" s="36" t="s">
        <v>85</v>
      </c>
      <c r="I10" s="44">
        <v>98</v>
      </c>
      <c r="K10" s="36" t="s">
        <v>85</v>
      </c>
      <c r="L10" s="44">
        <v>2985</v>
      </c>
      <c r="N10" s="33">
        <v>45973</v>
      </c>
      <c r="O10" s="73">
        <v>905</v>
      </c>
    </row>
    <row r="11" spans="2:15" x14ac:dyDescent="0.3">
      <c r="B11" s="36" t="s">
        <v>126</v>
      </c>
      <c r="C11" s="63">
        <v>0.42038228833481062</v>
      </c>
      <c r="H11" s="36" t="s">
        <v>111</v>
      </c>
      <c r="I11" s="44">
        <v>24</v>
      </c>
      <c r="K11" s="36" t="s">
        <v>111</v>
      </c>
      <c r="L11" s="44">
        <v>1060</v>
      </c>
      <c r="N11" s="33">
        <v>45974</v>
      </c>
      <c r="O11" s="73">
        <v>2350</v>
      </c>
    </row>
    <row r="12" spans="2:15" ht="15" thickBot="1" x14ac:dyDescent="0.35">
      <c r="B12" s="37" t="s">
        <v>127</v>
      </c>
      <c r="C12" s="63">
        <v>0.3663339627731319</v>
      </c>
      <c r="H12" s="36" t="s">
        <v>115</v>
      </c>
      <c r="I12" s="44">
        <v>2</v>
      </c>
      <c r="K12" s="36" t="s">
        <v>115</v>
      </c>
      <c r="L12" s="44">
        <v>100</v>
      </c>
      <c r="N12" s="33">
        <v>45975</v>
      </c>
      <c r="O12" s="73">
        <v>955</v>
      </c>
    </row>
    <row r="13" spans="2:15" ht="15" thickBot="1" x14ac:dyDescent="0.35">
      <c r="B13" s="38" t="s">
        <v>129</v>
      </c>
      <c r="C13" s="64">
        <v>1</v>
      </c>
      <c r="H13" s="36" t="s">
        <v>116</v>
      </c>
      <c r="I13" s="44">
        <v>10</v>
      </c>
      <c r="K13" s="36" t="s">
        <v>116</v>
      </c>
      <c r="L13" s="44">
        <v>150</v>
      </c>
      <c r="N13" s="33">
        <v>45978</v>
      </c>
      <c r="O13" s="73">
        <v>676</v>
      </c>
    </row>
    <row r="14" spans="2:15" x14ac:dyDescent="0.3">
      <c r="H14" s="36" t="s">
        <v>114</v>
      </c>
      <c r="I14" s="44">
        <v>17</v>
      </c>
      <c r="K14" s="36" t="s">
        <v>114</v>
      </c>
      <c r="L14" s="44">
        <v>240</v>
      </c>
      <c r="N14" s="33">
        <v>45979</v>
      </c>
      <c r="O14" s="73">
        <v>730</v>
      </c>
    </row>
    <row r="15" spans="2:15" ht="15" thickBot="1" x14ac:dyDescent="0.35">
      <c r="H15" s="36" t="s">
        <v>107</v>
      </c>
      <c r="I15" s="44">
        <v>8</v>
      </c>
      <c r="K15" s="36" t="s">
        <v>107</v>
      </c>
      <c r="L15" s="44">
        <v>80</v>
      </c>
      <c r="N15" s="33">
        <v>45980</v>
      </c>
      <c r="O15" s="73">
        <v>950</v>
      </c>
    </row>
    <row r="16" spans="2:15" x14ac:dyDescent="0.3">
      <c r="B16" s="27" t="s">
        <v>136</v>
      </c>
      <c r="C16" s="28" t="s">
        <v>1</v>
      </c>
      <c r="D16" s="29"/>
      <c r="E16" s="29"/>
      <c r="F16" s="30"/>
      <c r="H16" s="36" t="s">
        <v>112</v>
      </c>
      <c r="I16" s="44">
        <v>6</v>
      </c>
      <c r="K16" s="36" t="s">
        <v>112</v>
      </c>
      <c r="L16" s="44">
        <v>30</v>
      </c>
      <c r="N16" s="33">
        <v>45981</v>
      </c>
      <c r="O16" s="73">
        <v>2581</v>
      </c>
    </row>
    <row r="17" spans="2:15" x14ac:dyDescent="0.3">
      <c r="B17" s="31" t="s">
        <v>135</v>
      </c>
      <c r="C17" s="50" t="s">
        <v>8</v>
      </c>
      <c r="D17" s="50" t="s">
        <v>6</v>
      </c>
      <c r="E17" s="50" t="s">
        <v>10</v>
      </c>
      <c r="F17" s="32" t="s">
        <v>129</v>
      </c>
      <c r="H17" s="36" t="s">
        <v>104</v>
      </c>
      <c r="I17" s="44">
        <v>24</v>
      </c>
      <c r="K17" s="36" t="s">
        <v>104</v>
      </c>
      <c r="L17" s="44">
        <v>645</v>
      </c>
      <c r="N17" s="33">
        <v>45982</v>
      </c>
      <c r="O17" s="73">
        <v>1060</v>
      </c>
    </row>
    <row r="18" spans="2:15" x14ac:dyDescent="0.3">
      <c r="B18" s="25" t="s">
        <v>94</v>
      </c>
      <c r="C18">
        <v>5</v>
      </c>
      <c r="F18" s="41">
        <v>5</v>
      </c>
      <c r="H18" s="36" t="s">
        <v>88</v>
      </c>
      <c r="I18" s="44">
        <v>5</v>
      </c>
      <c r="K18" s="36" t="s">
        <v>88</v>
      </c>
      <c r="L18" s="44">
        <v>1250</v>
      </c>
      <c r="N18" s="33">
        <v>45985</v>
      </c>
      <c r="O18" s="73">
        <v>640</v>
      </c>
    </row>
    <row r="19" spans="2:15" x14ac:dyDescent="0.3">
      <c r="B19" s="25" t="s">
        <v>103</v>
      </c>
      <c r="C19">
        <v>5</v>
      </c>
      <c r="D19">
        <v>147</v>
      </c>
      <c r="E19">
        <v>119</v>
      </c>
      <c r="F19" s="41">
        <v>271</v>
      </c>
      <c r="H19" s="36" t="s">
        <v>73</v>
      </c>
      <c r="I19" s="44">
        <v>5</v>
      </c>
      <c r="K19" s="36" t="s">
        <v>73</v>
      </c>
      <c r="L19" s="44">
        <v>500</v>
      </c>
      <c r="N19" s="33">
        <v>45986</v>
      </c>
      <c r="O19" s="73">
        <v>590</v>
      </c>
    </row>
    <row r="20" spans="2:15" x14ac:dyDescent="0.3">
      <c r="B20" s="25" t="s">
        <v>124</v>
      </c>
      <c r="E20">
        <v>2</v>
      </c>
      <c r="F20" s="41">
        <v>2</v>
      </c>
      <c r="H20" s="36" t="s">
        <v>132</v>
      </c>
      <c r="I20" s="44">
        <v>12</v>
      </c>
      <c r="K20" s="36" t="s">
        <v>132</v>
      </c>
      <c r="L20" s="44">
        <v>300</v>
      </c>
      <c r="N20" s="33">
        <v>45987</v>
      </c>
      <c r="O20" s="73">
        <v>500</v>
      </c>
    </row>
    <row r="21" spans="2:15" x14ac:dyDescent="0.3">
      <c r="B21" s="25" t="s">
        <v>47</v>
      </c>
      <c r="C21">
        <v>58</v>
      </c>
      <c r="F21" s="41">
        <v>58</v>
      </c>
      <c r="H21" s="36" t="s">
        <v>106</v>
      </c>
      <c r="I21" s="44">
        <v>271</v>
      </c>
      <c r="K21" s="36" t="s">
        <v>106</v>
      </c>
      <c r="L21" s="44">
        <v>2168</v>
      </c>
      <c r="N21" s="33">
        <v>45988</v>
      </c>
      <c r="O21" s="73">
        <v>408</v>
      </c>
    </row>
    <row r="22" spans="2:15" x14ac:dyDescent="0.3">
      <c r="B22" s="25" t="s">
        <v>117</v>
      </c>
      <c r="C22">
        <v>3</v>
      </c>
      <c r="F22" s="41">
        <v>3</v>
      </c>
      <c r="H22" s="36" t="s">
        <v>63</v>
      </c>
      <c r="I22" s="44">
        <v>13</v>
      </c>
      <c r="K22" s="36" t="s">
        <v>63</v>
      </c>
      <c r="L22" s="44">
        <v>1170</v>
      </c>
      <c r="N22" s="33">
        <v>45989</v>
      </c>
      <c r="O22" s="73">
        <v>1540</v>
      </c>
    </row>
    <row r="23" spans="2:15" x14ac:dyDescent="0.3">
      <c r="B23" s="25" t="s">
        <v>109</v>
      </c>
      <c r="D23">
        <v>143</v>
      </c>
      <c r="E23">
        <v>24</v>
      </c>
      <c r="F23" s="41">
        <v>167</v>
      </c>
      <c r="H23" s="36" t="s">
        <v>121</v>
      </c>
      <c r="I23" s="44">
        <v>8</v>
      </c>
      <c r="K23" s="36" t="s">
        <v>121</v>
      </c>
      <c r="L23" s="44">
        <v>400</v>
      </c>
      <c r="N23" s="33">
        <v>45992</v>
      </c>
      <c r="O23" s="73">
        <v>654</v>
      </c>
    </row>
    <row r="24" spans="2:15" x14ac:dyDescent="0.3">
      <c r="B24" s="25" t="s">
        <v>122</v>
      </c>
      <c r="E24">
        <v>6</v>
      </c>
      <c r="F24" s="41">
        <v>6</v>
      </c>
      <c r="H24" s="36" t="s">
        <v>110</v>
      </c>
      <c r="I24" s="44">
        <v>8</v>
      </c>
      <c r="K24" s="36" t="s">
        <v>110</v>
      </c>
      <c r="L24" s="44">
        <v>320</v>
      </c>
      <c r="N24" s="33">
        <v>45993</v>
      </c>
      <c r="O24" s="73">
        <v>1000</v>
      </c>
    </row>
    <row r="25" spans="2:15" x14ac:dyDescent="0.3">
      <c r="B25" s="25" t="s">
        <v>85</v>
      </c>
      <c r="D25">
        <v>31</v>
      </c>
      <c r="E25">
        <v>67</v>
      </c>
      <c r="F25" s="41">
        <v>98</v>
      </c>
      <c r="H25" s="36" t="s">
        <v>123</v>
      </c>
      <c r="I25" s="44">
        <v>10</v>
      </c>
      <c r="K25" s="36" t="s">
        <v>123</v>
      </c>
      <c r="L25" s="44">
        <v>980</v>
      </c>
      <c r="N25" s="33">
        <v>45994</v>
      </c>
      <c r="O25" s="73">
        <v>610</v>
      </c>
    </row>
    <row r="26" spans="2:15" x14ac:dyDescent="0.3">
      <c r="B26" s="25" t="s">
        <v>111</v>
      </c>
      <c r="E26">
        <v>24</v>
      </c>
      <c r="F26" s="41">
        <v>24</v>
      </c>
      <c r="H26" s="36" t="s">
        <v>67</v>
      </c>
      <c r="I26" s="44">
        <v>16</v>
      </c>
      <c r="K26" s="36" t="s">
        <v>67</v>
      </c>
      <c r="L26" s="44">
        <v>1040</v>
      </c>
      <c r="N26" s="33">
        <v>45995</v>
      </c>
      <c r="O26" s="73">
        <v>1900</v>
      </c>
    </row>
    <row r="27" spans="2:15" x14ac:dyDescent="0.3">
      <c r="B27" s="25" t="s">
        <v>115</v>
      </c>
      <c r="E27">
        <v>2</v>
      </c>
      <c r="F27" s="41">
        <v>2</v>
      </c>
      <c r="H27" s="36" t="s">
        <v>102</v>
      </c>
      <c r="I27" s="44">
        <v>6</v>
      </c>
      <c r="K27" s="36" t="s">
        <v>102</v>
      </c>
      <c r="L27" s="44">
        <v>240</v>
      </c>
      <c r="N27" s="33">
        <v>45996</v>
      </c>
      <c r="O27" s="73">
        <v>720</v>
      </c>
    </row>
    <row r="28" spans="2:15" x14ac:dyDescent="0.3">
      <c r="B28" s="25" t="s">
        <v>116</v>
      </c>
      <c r="C28">
        <v>5</v>
      </c>
      <c r="E28">
        <v>5</v>
      </c>
      <c r="F28" s="41">
        <v>10</v>
      </c>
      <c r="H28" s="36" t="s">
        <v>131</v>
      </c>
      <c r="I28" s="44">
        <v>2</v>
      </c>
      <c r="K28" s="36" t="s">
        <v>131</v>
      </c>
      <c r="L28" s="44">
        <v>50</v>
      </c>
      <c r="N28" s="33">
        <v>45999</v>
      </c>
      <c r="O28" s="73">
        <v>940</v>
      </c>
    </row>
    <row r="29" spans="2:15" x14ac:dyDescent="0.3">
      <c r="B29" s="25" t="s">
        <v>114</v>
      </c>
      <c r="C29">
        <v>17</v>
      </c>
      <c r="F29" s="41">
        <v>17</v>
      </c>
      <c r="H29" s="36" t="s">
        <v>95</v>
      </c>
      <c r="I29" s="44">
        <v>4</v>
      </c>
      <c r="K29" s="36" t="s">
        <v>95</v>
      </c>
      <c r="L29" s="44">
        <v>520</v>
      </c>
      <c r="N29" s="33">
        <v>46000</v>
      </c>
      <c r="O29" s="73">
        <v>762</v>
      </c>
    </row>
    <row r="30" spans="2:15" x14ac:dyDescent="0.3">
      <c r="B30" s="25" t="s">
        <v>107</v>
      </c>
      <c r="C30">
        <v>8</v>
      </c>
      <c r="F30" s="41">
        <v>8</v>
      </c>
      <c r="H30" s="36" t="s">
        <v>120</v>
      </c>
      <c r="I30" s="44">
        <v>4</v>
      </c>
      <c r="K30" s="36" t="s">
        <v>120</v>
      </c>
      <c r="L30" s="44">
        <v>520</v>
      </c>
      <c r="N30" s="33">
        <v>46001</v>
      </c>
      <c r="O30" s="73">
        <v>880</v>
      </c>
    </row>
    <row r="31" spans="2:15" x14ac:dyDescent="0.3">
      <c r="B31" s="25" t="s">
        <v>112</v>
      </c>
      <c r="D31">
        <v>3</v>
      </c>
      <c r="E31">
        <v>3</v>
      </c>
      <c r="F31" s="41">
        <v>6</v>
      </c>
      <c r="H31" s="36" t="s">
        <v>105</v>
      </c>
      <c r="I31" s="44">
        <v>8</v>
      </c>
      <c r="K31" s="36" t="s">
        <v>105</v>
      </c>
      <c r="L31" s="44">
        <v>160</v>
      </c>
      <c r="N31" s="33">
        <v>46002</v>
      </c>
      <c r="O31" s="73">
        <v>1815</v>
      </c>
    </row>
    <row r="32" spans="2:15" x14ac:dyDescent="0.3">
      <c r="B32" s="25" t="s">
        <v>104</v>
      </c>
      <c r="C32">
        <v>20</v>
      </c>
      <c r="E32">
        <v>4</v>
      </c>
      <c r="F32" s="41">
        <v>24</v>
      </c>
      <c r="H32" s="36" t="s">
        <v>119</v>
      </c>
      <c r="I32" s="44">
        <v>63</v>
      </c>
      <c r="K32" s="36" t="s">
        <v>119</v>
      </c>
      <c r="L32" s="44">
        <v>1260</v>
      </c>
      <c r="N32" s="33">
        <v>46003</v>
      </c>
      <c r="O32" s="73">
        <v>740</v>
      </c>
    </row>
    <row r="33" spans="2:15" x14ac:dyDescent="0.3">
      <c r="B33" s="25" t="s">
        <v>88</v>
      </c>
      <c r="C33">
        <v>5</v>
      </c>
      <c r="F33" s="41">
        <v>5</v>
      </c>
      <c r="H33" s="36" t="s">
        <v>118</v>
      </c>
      <c r="I33" s="44">
        <v>23</v>
      </c>
      <c r="K33" s="36" t="s">
        <v>118</v>
      </c>
      <c r="L33" s="44">
        <v>520</v>
      </c>
      <c r="N33" s="33">
        <v>46006</v>
      </c>
      <c r="O33" s="73">
        <v>1030</v>
      </c>
    </row>
    <row r="34" spans="2:15" x14ac:dyDescent="0.3">
      <c r="B34" s="25" t="s">
        <v>73</v>
      </c>
      <c r="C34">
        <v>5</v>
      </c>
      <c r="F34" s="41">
        <v>5</v>
      </c>
      <c r="H34" s="36" t="s">
        <v>108</v>
      </c>
      <c r="I34" s="44">
        <v>6</v>
      </c>
      <c r="K34" s="36" t="s">
        <v>108</v>
      </c>
      <c r="L34" s="44">
        <v>150</v>
      </c>
      <c r="N34" s="33">
        <v>46007</v>
      </c>
      <c r="O34" s="73">
        <v>760</v>
      </c>
    </row>
    <row r="35" spans="2:15" x14ac:dyDescent="0.3">
      <c r="B35" s="25" t="s">
        <v>132</v>
      </c>
      <c r="D35">
        <v>12</v>
      </c>
      <c r="F35" s="41">
        <v>12</v>
      </c>
      <c r="H35" s="36" t="s">
        <v>89</v>
      </c>
      <c r="I35" s="44">
        <v>3</v>
      </c>
      <c r="K35" s="36" t="s">
        <v>89</v>
      </c>
      <c r="L35" s="44">
        <v>120</v>
      </c>
      <c r="N35" s="33">
        <v>46008</v>
      </c>
      <c r="O35" s="73">
        <v>632</v>
      </c>
    </row>
    <row r="36" spans="2:15" x14ac:dyDescent="0.3">
      <c r="B36" s="25" t="s">
        <v>106</v>
      </c>
      <c r="D36">
        <v>258</v>
      </c>
      <c r="E36">
        <v>13</v>
      </c>
      <c r="F36" s="41">
        <v>271</v>
      </c>
      <c r="H36" s="36" t="s">
        <v>49</v>
      </c>
      <c r="I36" s="44">
        <v>24</v>
      </c>
      <c r="K36" s="36" t="s">
        <v>49</v>
      </c>
      <c r="L36" s="44">
        <v>1300</v>
      </c>
      <c r="N36" s="33">
        <v>46009</v>
      </c>
      <c r="O36" s="73">
        <v>1300</v>
      </c>
    </row>
    <row r="37" spans="2:15" x14ac:dyDescent="0.3">
      <c r="B37" s="25" t="s">
        <v>63</v>
      </c>
      <c r="C37">
        <v>13</v>
      </c>
      <c r="F37" s="41">
        <v>13</v>
      </c>
      <c r="H37" s="36" t="s">
        <v>60</v>
      </c>
      <c r="I37" s="44">
        <v>6</v>
      </c>
      <c r="K37" s="36" t="s">
        <v>60</v>
      </c>
      <c r="L37" s="44">
        <v>300</v>
      </c>
      <c r="N37" s="33">
        <v>46010</v>
      </c>
      <c r="O37" s="73">
        <v>755</v>
      </c>
    </row>
    <row r="38" spans="2:15" x14ac:dyDescent="0.3">
      <c r="B38" s="25" t="s">
        <v>121</v>
      </c>
      <c r="D38">
        <v>5</v>
      </c>
      <c r="E38">
        <v>3</v>
      </c>
      <c r="F38" s="41">
        <v>8</v>
      </c>
      <c r="H38" s="36" t="s">
        <v>46</v>
      </c>
      <c r="I38" s="44">
        <v>46</v>
      </c>
      <c r="K38" s="36" t="s">
        <v>46</v>
      </c>
      <c r="L38" s="44">
        <v>2360</v>
      </c>
      <c r="N38" s="33">
        <v>46013</v>
      </c>
      <c r="O38" s="73">
        <v>776</v>
      </c>
    </row>
    <row r="39" spans="2:15" x14ac:dyDescent="0.3">
      <c r="B39" s="25" t="s">
        <v>110</v>
      </c>
      <c r="E39">
        <v>8</v>
      </c>
      <c r="F39" s="41">
        <v>8</v>
      </c>
      <c r="H39" s="36" t="s">
        <v>43</v>
      </c>
      <c r="I39" s="44">
        <v>16</v>
      </c>
      <c r="K39" s="36" t="s">
        <v>43</v>
      </c>
      <c r="L39" s="44">
        <v>1380</v>
      </c>
      <c r="N39" s="33">
        <v>46014</v>
      </c>
      <c r="O39" s="73">
        <v>980</v>
      </c>
    </row>
    <row r="40" spans="2:15" x14ac:dyDescent="0.3">
      <c r="B40" s="25" t="s">
        <v>123</v>
      </c>
      <c r="C40">
        <v>10</v>
      </c>
      <c r="F40" s="41">
        <v>10</v>
      </c>
      <c r="H40" s="36" t="s">
        <v>40</v>
      </c>
      <c r="I40" s="44">
        <v>74</v>
      </c>
      <c r="K40" s="36" t="s">
        <v>40</v>
      </c>
      <c r="L40" s="44">
        <v>6660</v>
      </c>
      <c r="N40" s="33">
        <v>46015</v>
      </c>
      <c r="O40" s="73">
        <v>240</v>
      </c>
    </row>
    <row r="41" spans="2:15" x14ac:dyDescent="0.3">
      <c r="B41" s="25" t="s">
        <v>67</v>
      </c>
      <c r="C41">
        <v>16</v>
      </c>
      <c r="F41" s="41">
        <v>16</v>
      </c>
      <c r="H41" s="36" t="s">
        <v>53</v>
      </c>
      <c r="I41" s="44">
        <v>5</v>
      </c>
      <c r="K41" s="36" t="s">
        <v>53</v>
      </c>
      <c r="L41" s="44">
        <v>200</v>
      </c>
      <c r="N41" s="33">
        <v>46020</v>
      </c>
      <c r="O41" s="73">
        <v>940</v>
      </c>
    </row>
    <row r="42" spans="2:15" x14ac:dyDescent="0.3">
      <c r="B42" s="25" t="s">
        <v>102</v>
      </c>
      <c r="E42">
        <v>6</v>
      </c>
      <c r="F42" s="41">
        <v>6</v>
      </c>
      <c r="H42" s="36" t="s">
        <v>113</v>
      </c>
      <c r="I42" s="44">
        <v>10</v>
      </c>
      <c r="K42" s="36" t="s">
        <v>113</v>
      </c>
      <c r="L42" s="44">
        <v>590</v>
      </c>
      <c r="N42" s="33">
        <v>46021</v>
      </c>
      <c r="O42" s="73">
        <v>648</v>
      </c>
    </row>
    <row r="43" spans="2:15" x14ac:dyDescent="0.3">
      <c r="B43" s="25" t="s">
        <v>131</v>
      </c>
      <c r="E43">
        <v>2</v>
      </c>
      <c r="F43" s="41">
        <v>2</v>
      </c>
      <c r="H43" s="36" t="s">
        <v>130</v>
      </c>
      <c r="I43" s="44">
        <v>6</v>
      </c>
      <c r="K43" s="36" t="s">
        <v>130</v>
      </c>
      <c r="L43" s="44">
        <v>540</v>
      </c>
      <c r="N43" s="33">
        <v>46022</v>
      </c>
      <c r="O43" s="73">
        <v>930</v>
      </c>
    </row>
    <row r="44" spans="2:15" ht="15" thickBot="1" x14ac:dyDescent="0.35">
      <c r="B44" s="25" t="s">
        <v>95</v>
      </c>
      <c r="C44">
        <v>4</v>
      </c>
      <c r="F44" s="41">
        <v>4</v>
      </c>
      <c r="H44" s="37" t="s">
        <v>92</v>
      </c>
      <c r="I44" s="44">
        <v>19</v>
      </c>
      <c r="K44" s="37" t="s">
        <v>92</v>
      </c>
      <c r="L44" s="44">
        <v>760</v>
      </c>
      <c r="N44" s="33">
        <v>46024</v>
      </c>
      <c r="O44" s="73">
        <v>965</v>
      </c>
    </row>
    <row r="45" spans="2:15" ht="15" thickBot="1" x14ac:dyDescent="0.35">
      <c r="B45" s="25" t="s">
        <v>120</v>
      </c>
      <c r="C45">
        <v>4</v>
      </c>
      <c r="F45" s="41">
        <v>4</v>
      </c>
      <c r="H45" s="38" t="s">
        <v>129</v>
      </c>
      <c r="I45" s="45">
        <v>1374</v>
      </c>
      <c r="K45" s="38" t="s">
        <v>129</v>
      </c>
      <c r="L45" s="45">
        <v>51898</v>
      </c>
      <c r="N45" s="33">
        <v>46027</v>
      </c>
      <c r="O45" s="73">
        <v>870</v>
      </c>
    </row>
    <row r="46" spans="2:15" x14ac:dyDescent="0.3">
      <c r="B46" s="25" t="s">
        <v>105</v>
      </c>
      <c r="E46">
        <v>8</v>
      </c>
      <c r="F46" s="41">
        <v>8</v>
      </c>
      <c r="N46" s="33">
        <v>46028</v>
      </c>
      <c r="O46" s="73">
        <v>820</v>
      </c>
    </row>
    <row r="47" spans="2:15" x14ac:dyDescent="0.3">
      <c r="B47" s="25" t="s">
        <v>119</v>
      </c>
      <c r="D47">
        <v>59</v>
      </c>
      <c r="E47">
        <v>4</v>
      </c>
      <c r="F47" s="41">
        <v>63</v>
      </c>
      <c r="N47" s="33">
        <v>46029</v>
      </c>
      <c r="O47" s="73">
        <v>1530</v>
      </c>
    </row>
    <row r="48" spans="2:15" ht="15" thickBot="1" x14ac:dyDescent="0.35">
      <c r="B48" s="25" t="s">
        <v>118</v>
      </c>
      <c r="D48">
        <v>20</v>
      </c>
      <c r="E48">
        <v>3</v>
      </c>
      <c r="F48" s="41">
        <v>23</v>
      </c>
      <c r="N48" s="33">
        <v>46030</v>
      </c>
      <c r="O48" s="73">
        <v>485</v>
      </c>
    </row>
    <row r="49" spans="2:15" ht="15" thickBot="1" x14ac:dyDescent="0.35">
      <c r="B49" s="25" t="s">
        <v>108</v>
      </c>
      <c r="E49">
        <v>6</v>
      </c>
      <c r="F49" s="41">
        <v>6</v>
      </c>
      <c r="H49" s="55" t="s">
        <v>133</v>
      </c>
      <c r="I49" s="55" t="s">
        <v>125</v>
      </c>
      <c r="J49" s="56"/>
      <c r="K49" s="57"/>
      <c r="L49" s="58"/>
      <c r="N49" s="33">
        <v>46031</v>
      </c>
      <c r="O49" s="73">
        <v>600</v>
      </c>
    </row>
    <row r="50" spans="2:15" ht="15" thickBot="1" x14ac:dyDescent="0.35">
      <c r="B50" s="25" t="s">
        <v>89</v>
      </c>
      <c r="C50">
        <v>3</v>
      </c>
      <c r="F50" s="41">
        <v>3</v>
      </c>
      <c r="H50" s="39" t="s">
        <v>1</v>
      </c>
      <c r="I50" s="59" t="s">
        <v>128</v>
      </c>
      <c r="J50" s="60" t="s">
        <v>126</v>
      </c>
      <c r="K50" s="61" t="s">
        <v>127</v>
      </c>
      <c r="L50" s="40" t="s">
        <v>129</v>
      </c>
      <c r="N50" s="33">
        <v>46032</v>
      </c>
      <c r="O50" s="73">
        <v>670</v>
      </c>
    </row>
    <row r="51" spans="2:15" x14ac:dyDescent="0.3">
      <c r="B51" s="25" t="s">
        <v>49</v>
      </c>
      <c r="C51">
        <v>24</v>
      </c>
      <c r="F51" s="41">
        <v>24</v>
      </c>
      <c r="H51" s="35" t="s">
        <v>8</v>
      </c>
      <c r="I51" s="52">
        <v>7220</v>
      </c>
      <c r="J51" s="29">
        <v>12895</v>
      </c>
      <c r="K51" s="29">
        <v>11575</v>
      </c>
      <c r="L51" s="30">
        <v>31690</v>
      </c>
      <c r="N51" s="33">
        <v>46034</v>
      </c>
      <c r="O51" s="73">
        <v>950</v>
      </c>
    </row>
    <row r="52" spans="2:15" x14ac:dyDescent="0.3">
      <c r="B52" s="25" t="s">
        <v>60</v>
      </c>
      <c r="C52">
        <v>6</v>
      </c>
      <c r="F52" s="41">
        <v>6</v>
      </c>
      <c r="H52" s="36" t="s">
        <v>6</v>
      </c>
      <c r="I52" s="53">
        <v>2749</v>
      </c>
      <c r="J52">
        <v>5047</v>
      </c>
      <c r="K52">
        <v>4558</v>
      </c>
      <c r="L52" s="41">
        <v>12354</v>
      </c>
      <c r="N52" s="65">
        <v>46035</v>
      </c>
      <c r="O52" s="73">
        <v>672</v>
      </c>
    </row>
    <row r="53" spans="2:15" ht="15" thickBot="1" x14ac:dyDescent="0.35">
      <c r="B53" s="25" t="s">
        <v>46</v>
      </c>
      <c r="C53">
        <v>46</v>
      </c>
      <c r="F53" s="41">
        <v>46</v>
      </c>
      <c r="H53" s="37" t="s">
        <v>10</v>
      </c>
      <c r="I53" s="53">
        <v>1100</v>
      </c>
      <c r="J53">
        <v>3875</v>
      </c>
      <c r="K53">
        <v>2879</v>
      </c>
      <c r="L53" s="41">
        <v>7854</v>
      </c>
      <c r="N53" s="33">
        <v>46036</v>
      </c>
      <c r="O53" s="73">
        <v>690</v>
      </c>
    </row>
    <row r="54" spans="2:15" ht="15" thickBot="1" x14ac:dyDescent="0.35">
      <c r="B54" s="25" t="s">
        <v>43</v>
      </c>
      <c r="C54">
        <v>16</v>
      </c>
      <c r="F54" s="41">
        <v>16</v>
      </c>
      <c r="H54" s="38" t="s">
        <v>129</v>
      </c>
      <c r="I54" s="54">
        <v>11069</v>
      </c>
      <c r="J54" s="51">
        <v>21817</v>
      </c>
      <c r="K54" s="51">
        <v>19012</v>
      </c>
      <c r="L54" s="42">
        <v>51898</v>
      </c>
      <c r="N54" s="33">
        <v>46037</v>
      </c>
      <c r="O54" s="73">
        <v>390</v>
      </c>
    </row>
    <row r="55" spans="2:15" x14ac:dyDescent="0.3">
      <c r="B55" s="25" t="s">
        <v>40</v>
      </c>
      <c r="C55">
        <v>70</v>
      </c>
      <c r="D55">
        <v>4</v>
      </c>
      <c r="F55" s="41">
        <v>74</v>
      </c>
      <c r="N55" s="33">
        <v>46041</v>
      </c>
      <c r="O55" s="73">
        <v>460</v>
      </c>
    </row>
    <row r="56" spans="2:15" x14ac:dyDescent="0.3">
      <c r="B56" s="25" t="s">
        <v>53</v>
      </c>
      <c r="D56">
        <v>5</v>
      </c>
      <c r="F56" s="41">
        <v>5</v>
      </c>
      <c r="N56" s="33">
        <v>46042</v>
      </c>
      <c r="O56" s="73">
        <v>322</v>
      </c>
    </row>
    <row r="57" spans="2:15" x14ac:dyDescent="0.3">
      <c r="B57" s="25" t="s">
        <v>113</v>
      </c>
      <c r="C57">
        <v>10</v>
      </c>
      <c r="F57" s="41">
        <v>10</v>
      </c>
      <c r="N57" s="33">
        <v>46043</v>
      </c>
      <c r="O57" s="73">
        <v>310</v>
      </c>
    </row>
    <row r="58" spans="2:15" x14ac:dyDescent="0.3">
      <c r="B58" s="25" t="s">
        <v>130</v>
      </c>
      <c r="C58">
        <v>6</v>
      </c>
      <c r="F58" s="41">
        <v>6</v>
      </c>
      <c r="N58" s="33">
        <v>46044</v>
      </c>
      <c r="O58" s="73">
        <v>650</v>
      </c>
    </row>
    <row r="59" spans="2:15" x14ac:dyDescent="0.3">
      <c r="B59" s="25" t="s">
        <v>92</v>
      </c>
      <c r="D59">
        <v>19</v>
      </c>
      <c r="F59" s="41">
        <v>19</v>
      </c>
      <c r="N59" s="33">
        <v>46045</v>
      </c>
      <c r="O59" s="73">
        <v>180</v>
      </c>
    </row>
    <row r="60" spans="2:15" ht="15" thickBot="1" x14ac:dyDescent="0.35">
      <c r="B60" s="26" t="s">
        <v>129</v>
      </c>
      <c r="C60" s="51">
        <v>359</v>
      </c>
      <c r="D60" s="51">
        <v>706</v>
      </c>
      <c r="E60" s="51">
        <v>309</v>
      </c>
      <c r="F60" s="42">
        <v>1374</v>
      </c>
      <c r="N60" s="33">
        <v>46046</v>
      </c>
      <c r="O60" s="73">
        <v>75</v>
      </c>
    </row>
    <row r="61" spans="2:15" x14ac:dyDescent="0.3">
      <c r="N61" s="33">
        <v>46048</v>
      </c>
      <c r="O61" s="73">
        <v>50</v>
      </c>
    </row>
    <row r="62" spans="2:15" ht="15" thickBot="1" x14ac:dyDescent="0.35">
      <c r="N62" s="33">
        <v>46049</v>
      </c>
      <c r="O62" s="73">
        <v>120</v>
      </c>
    </row>
    <row r="63" spans="2:15" x14ac:dyDescent="0.3">
      <c r="B63" s="69" t="s">
        <v>141</v>
      </c>
      <c r="C63" s="70" t="s">
        <v>133</v>
      </c>
      <c r="N63" s="33">
        <v>46050</v>
      </c>
      <c r="O63" s="73">
        <v>260</v>
      </c>
    </row>
    <row r="64" spans="2:15" ht="15" thickBot="1" x14ac:dyDescent="0.35">
      <c r="B64" s="25" t="s">
        <v>47</v>
      </c>
      <c r="C64" s="71">
        <v>11450</v>
      </c>
      <c r="N64" s="34" t="s">
        <v>129</v>
      </c>
      <c r="O64" s="74">
        <v>51898</v>
      </c>
    </row>
    <row r="65" spans="2:3" x14ac:dyDescent="0.3">
      <c r="B65" s="25" t="s">
        <v>40</v>
      </c>
      <c r="C65" s="71">
        <v>6660</v>
      </c>
    </row>
    <row r="66" spans="2:3" x14ac:dyDescent="0.3">
      <c r="B66" s="25" t="s">
        <v>103</v>
      </c>
      <c r="C66" s="71">
        <v>5480</v>
      </c>
    </row>
    <row r="67" spans="2:3" x14ac:dyDescent="0.3">
      <c r="B67" s="25" t="s">
        <v>109</v>
      </c>
      <c r="C67" s="71">
        <v>3340</v>
      </c>
    </row>
    <row r="68" spans="2:3" x14ac:dyDescent="0.3">
      <c r="B68" s="25" t="s">
        <v>85</v>
      </c>
      <c r="C68" s="71">
        <v>2985</v>
      </c>
    </row>
    <row r="69" spans="2:3" x14ac:dyDescent="0.3">
      <c r="B69" s="25" t="s">
        <v>46</v>
      </c>
      <c r="C69" s="71">
        <v>2360</v>
      </c>
    </row>
    <row r="70" spans="2:3" x14ac:dyDescent="0.3">
      <c r="B70" s="25" t="s">
        <v>106</v>
      </c>
      <c r="C70" s="71">
        <v>2168</v>
      </c>
    </row>
    <row r="71" spans="2:3" x14ac:dyDescent="0.3">
      <c r="B71" s="25" t="s">
        <v>43</v>
      </c>
      <c r="C71" s="71">
        <v>1380</v>
      </c>
    </row>
    <row r="72" spans="2:3" x14ac:dyDescent="0.3">
      <c r="B72" s="25" t="s">
        <v>49</v>
      </c>
      <c r="C72" s="71">
        <v>1300</v>
      </c>
    </row>
    <row r="73" spans="2:3" x14ac:dyDescent="0.3">
      <c r="B73" s="25" t="s">
        <v>119</v>
      </c>
      <c r="C73" s="71">
        <v>1260</v>
      </c>
    </row>
    <row r="74" spans="2:3" ht="15" thickBot="1" x14ac:dyDescent="0.35">
      <c r="B74" s="26" t="s">
        <v>129</v>
      </c>
      <c r="C74" s="72">
        <v>38383</v>
      </c>
    </row>
  </sheetData>
  <conditionalFormatting pivot="1" sqref="L3:L44">
    <cfRule type="colorScale" priority="3">
      <colorScale>
        <cfvo type="min"/>
        <cfvo type="percentile" val="50"/>
        <cfvo type="max"/>
        <color rgb="FFF8696B"/>
        <color rgb="FFFFEB84"/>
        <color rgb="FF63BE7B"/>
      </colorScale>
    </cfRule>
  </conditionalFormatting>
  <conditionalFormatting pivot="1" sqref="I3:I44">
    <cfRule type="top10" dxfId="120" priority="2" rank="10"/>
  </conditionalFormatting>
  <conditionalFormatting pivot="1" sqref="I3:I44">
    <cfRule type="top10" dxfId="119" priority="1" bottom="1" rank="10"/>
  </conditionalFormatting>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BBDBD-40FA-4CF4-BB4C-2D3F85624845}">
  <sheetPr>
    <tabColor theme="9" tint="0.39997558519241921"/>
  </sheetPr>
  <dimension ref="A1"/>
  <sheetViews>
    <sheetView showGridLines="0" workbookViewId="0">
      <selection activeCell="L24" sqref="L24"/>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19A33-44F8-467E-9BF3-B4DE4226B675}">
  <sheetPr>
    <tabColor theme="8" tint="0.39997558519241921"/>
  </sheetPr>
  <dimension ref="A1"/>
  <sheetViews>
    <sheetView showGridLines="0" workbookViewId="0">
      <selection activeCell="U22" sqref="U22"/>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E9D26-0D10-454D-B07A-59CB1A6F56E7}">
  <sheetPr>
    <tabColor rgb="FF7030A0"/>
  </sheetPr>
  <dimension ref="B1:Q3"/>
  <sheetViews>
    <sheetView showGridLines="0" tabSelected="1" workbookViewId="0">
      <selection activeCell="R39" sqref="R39"/>
    </sheetView>
  </sheetViews>
  <sheetFormatPr defaultRowHeight="14.4" x14ac:dyDescent="0.3"/>
  <sheetData>
    <row r="1" spans="2:17" ht="15" thickBot="1" x14ac:dyDescent="0.35"/>
    <row r="2" spans="2:17" ht="16.2" thickBot="1" x14ac:dyDescent="0.35">
      <c r="B2" s="87" t="s">
        <v>140</v>
      </c>
      <c r="C2" s="88"/>
      <c r="D2" s="88"/>
      <c r="E2" s="88"/>
      <c r="F2" s="88"/>
      <c r="G2" s="88"/>
      <c r="H2" s="88"/>
      <c r="I2" s="88"/>
      <c r="J2" s="88"/>
      <c r="K2" s="88"/>
      <c r="L2" s="88"/>
      <c r="M2" s="88"/>
      <c r="N2" s="88"/>
      <c r="O2" s="89"/>
    </row>
    <row r="3" spans="2:17" ht="14.4" customHeight="1" x14ac:dyDescent="0.3">
      <c r="Q3" s="68"/>
    </row>
  </sheetData>
  <mergeCells count="1">
    <mergeCell ref="B2:O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Cleaned_Data</vt:lpstr>
      <vt:lpstr>Sheet1</vt:lpstr>
      <vt:lpstr>Pivot_Table</vt:lpstr>
      <vt:lpstr>Pivot_Charts</vt:lpstr>
      <vt:lpstr>Charts</vt:lpstr>
      <vt:lpstr>Forecast_Sheet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vignesh mn</dc:creator>
  <cp:lastModifiedBy>Vignesh M N</cp:lastModifiedBy>
  <dcterms:created xsi:type="dcterms:W3CDTF">2026-05-14T20:42:26Z</dcterms:created>
  <dcterms:modified xsi:type="dcterms:W3CDTF">2026-05-27T22:34:52Z</dcterms:modified>
</cp:coreProperties>
</file>